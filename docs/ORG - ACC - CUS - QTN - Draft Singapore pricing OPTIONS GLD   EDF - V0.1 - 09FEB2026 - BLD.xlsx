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  <extLst>
    <ext uri="GoogleSheetsCustomDataVersion2">
      <go:sheetsCustomData xmlns:go="http://customooxmlschemas.google.com/" r:id="rId5" roundtripDataChecksum="8LvKs+OXWS7xkfh94NnvVuO+muBdkUMUrZIu4FUuiAE="/>
    </ext>
  </extLst>
</workbook>
</file>

<file path=xl/sharedStrings.xml><?xml version="1.0" encoding="utf-8"?>
<sst xmlns="http://schemas.openxmlformats.org/spreadsheetml/2006/main" count="955" uniqueCount="619">
  <si>
    <t xml:space="preserve">
DETAILED COSTS EXOWING PROJECT
PHASE 1
Research &amp; Development, 2x Prototype Exowing GLIDER Version, 2x 2 Students Training - duration 18 months
PHASE 2
Research &amp; Development, 1x Prototype Exowing EPW Version - duration 12 months
OPTIONS
Student Training
Certification of Prototype Exowing GLIDER
Series Exowing GLIDER
Certification of Prototype Exowing EPW
Series Exowing EPW
Extra System - Landing Assist
Extra System - Payload container
Extra System - Flight data live helmet display
Various Pilot's Equipment
Spare Parts</t>
  </si>
  <si>
    <t xml:space="preserve">
Designation
</t>
  </si>
  <si>
    <t>Provider</t>
  </si>
  <si>
    <t>Price</t>
  </si>
  <si>
    <t>Qty</t>
  </si>
  <si>
    <t>Total</t>
  </si>
  <si>
    <t>Repeat</t>
  </si>
  <si>
    <t>T0</t>
  </si>
  <si>
    <t>PHASE 1 - Start = Contract signing</t>
  </si>
  <si>
    <t>A PAYER</t>
  </si>
  <si>
    <t>PAYÉ</t>
  </si>
  <si>
    <t>Analysis &amp; definition of project / Team management &amp; Project organization</t>
  </si>
  <si>
    <t>TASK 1.1</t>
  </si>
  <si>
    <t>1.1</t>
  </si>
  <si>
    <t>Definition of needs and objectives / Hours</t>
  </si>
  <si>
    <t>Exopter / E-Wings / APO / Atelier Aéronautique de Banneriau (AAB)</t>
  </si>
  <si>
    <t>1.2</t>
  </si>
  <si>
    <t>Feasibility study / Hours</t>
  </si>
  <si>
    <t>Exopter / E-Wings / APO / AAB</t>
  </si>
  <si>
    <t>1.3</t>
  </si>
  <si>
    <t>Assessment of technical constraints +
Requirements table / Hours</t>
  </si>
  <si>
    <t>1.4</t>
  </si>
  <si>
    <t>Team Management &amp; project organization / Hours</t>
  </si>
  <si>
    <t>Exopter / E-Wings / APO / NW</t>
  </si>
  <si>
    <t>1.5</t>
  </si>
  <si>
    <t>Airworthiness / Hours</t>
  </si>
  <si>
    <t>Exopter / Velica</t>
  </si>
  <si>
    <t>TASK 4 &amp; 7</t>
  </si>
  <si>
    <t>1.6</t>
  </si>
  <si>
    <t>Accounting - Bookkeeping - Regulation compliance / Hours</t>
  </si>
  <si>
    <t>Arthae / Lamy-Lexel / Numans / Exopter</t>
  </si>
  <si>
    <t>1.7</t>
  </si>
  <si>
    <t>Lawyers / Hours</t>
  </si>
  <si>
    <t>Arthae / Lamy-Lexel</t>
  </si>
  <si>
    <t>1.8</t>
  </si>
  <si>
    <t>Intellectual Property / Hours</t>
  </si>
  <si>
    <t>1.9</t>
  </si>
  <si>
    <t>Patent &amp; Moral Rights research / Hours</t>
  </si>
  <si>
    <t>1.10</t>
  </si>
  <si>
    <t>Singapore IP Office registration</t>
  </si>
  <si>
    <t>Exopter / Singapore</t>
  </si>
  <si>
    <t>?</t>
  </si>
  <si>
    <t>1.11</t>
  </si>
  <si>
    <t>Safety and Risk assessment</t>
  </si>
  <si>
    <t>Exopter / E-Wings / APO</t>
  </si>
  <si>
    <t>TASK 2</t>
  </si>
  <si>
    <t>Aero Design of an Exowing - GLIDER version (GLD)</t>
  </si>
  <si>
    <t>TASK 3.1</t>
  </si>
  <si>
    <t>2.1</t>
  </si>
  <si>
    <t>Aeronautical engineering &amp; retro engineering + Aerodynamics + CFD simulations + Revisions</t>
  </si>
  <si>
    <t>2.2</t>
  </si>
  <si>
    <t>Creating plans and diagrams</t>
  </si>
  <si>
    <t>2.3</t>
  </si>
  <si>
    <t>3D modeling</t>
  </si>
  <si>
    <t>2.4</t>
  </si>
  <si>
    <t>Designing wing Molds</t>
  </si>
  <si>
    <t>Exopter / APO / AAB / C.Thebault</t>
  </si>
  <si>
    <t>2.5</t>
  </si>
  <si>
    <t>Systems pre-integration</t>
  </si>
  <si>
    <t>2.6</t>
  </si>
  <si>
    <t>Structural calculation</t>
  </si>
  <si>
    <t>Exopter / APO / AAB</t>
  </si>
  <si>
    <t>2.7</t>
  </si>
  <si>
    <t>drafting progress report</t>
  </si>
  <si>
    <t>Exowing Systems Design - GLIDER version (GLD)</t>
  </si>
  <si>
    <t>3.1</t>
  </si>
  <si>
    <t>Jettison system of the Wing</t>
  </si>
  <si>
    <t>3.1.1</t>
  </si>
  <si>
    <t>Definition and analysis of Rescue parachute / Hours</t>
  </si>
  <si>
    <t>3.1.2</t>
  </si>
  <si>
    <t>Study of a deployment POD and opening sequence for the Rescue parachute / Hours</t>
  </si>
  <si>
    <t>Exopter / E-Wings / APO / Jim Parachutisme</t>
  </si>
  <si>
    <t>3.1.3</t>
  </si>
  <si>
    <t>Study of jettison Hook and jettison sequence / Hours</t>
  </si>
  <si>
    <t>3.1.4</t>
  </si>
  <si>
    <t>3.1.5</t>
  </si>
  <si>
    <t>Production of prototype Hook</t>
  </si>
  <si>
    <t>3.1.6</t>
  </si>
  <si>
    <t>Tests &amp; Analysis of Hook destruction - static test</t>
  </si>
  <si>
    <t>Exopter / APO / AAB / AAPLUS</t>
  </si>
  <si>
    <t>3.1.7</t>
  </si>
  <si>
    <t>Purchase &amp; preparation of Rescue parachute</t>
  </si>
  <si>
    <t>Expoter / Opales</t>
  </si>
  <si>
    <t>3.1.8</t>
  </si>
  <si>
    <r>
      <rPr>
        <rFont val="Arial"/>
        <color theme="1"/>
        <sz val="11.0"/>
      </rPr>
      <t xml:space="preserve">Tests &amp; Analysis of Rescue parachute destruction
</t>
    </r>
    <r>
      <rPr>
        <rFont val="Arial"/>
        <i/>
        <color theme="1"/>
        <sz val="11.0"/>
      </rPr>
      <t>incl. travel expenses France - Test bridge</t>
    </r>
  </si>
  <si>
    <t>3.1.9</t>
  </si>
  <si>
    <t>Modifications</t>
  </si>
  <si>
    <t>3.1.10</t>
  </si>
  <si>
    <t>Drafting of progress reports</t>
  </si>
  <si>
    <t>3.2</t>
  </si>
  <si>
    <t>Attachment System - Pilot Seat</t>
  </si>
  <si>
    <t>3.2.1</t>
  </si>
  <si>
    <t>Definition of a Pilot Seat and supports / Hours</t>
  </si>
  <si>
    <t>Exopter / E-Wings / APO / S.Zunino / Jim Parachutisme</t>
  </si>
  <si>
    <t>3.2.2</t>
  </si>
  <si>
    <r>
      <rPr>
        <rFont val="Arial"/>
        <color theme="1"/>
        <sz val="11.0"/>
      </rPr>
      <t xml:space="preserve">Study of complete Seat Straps system for the main harness / Hours
</t>
    </r>
    <r>
      <rPr>
        <rFont val="Arial"/>
        <i/>
        <color theme="1"/>
        <sz val="11.0"/>
      </rPr>
      <t>Jettisonable version</t>
    </r>
  </si>
  <si>
    <t>Exopter / E-Wings / APO / Jim Parachutisme / S.Zunino</t>
  </si>
  <si>
    <t>3.2.3</t>
  </si>
  <si>
    <t>Analysis of Mass distribution + creation of Weight &amp; Balance system / Hours</t>
  </si>
  <si>
    <t>3.2.4</t>
  </si>
  <si>
    <t>Angle of Attack (AOA) adjustement device / Hours</t>
  </si>
  <si>
    <t>3.2.5</t>
  </si>
  <si>
    <t>3.2.6</t>
  </si>
  <si>
    <t>Test &amp; Analysis</t>
  </si>
  <si>
    <t>3.2.7</t>
  </si>
  <si>
    <t>Modification</t>
  </si>
  <si>
    <t>3.2.8</t>
  </si>
  <si>
    <t>3.3</t>
  </si>
  <si>
    <t>FDR (Flight Data Recorder)</t>
  </si>
  <si>
    <t>3.3.1</t>
  </si>
  <si>
    <t>Definition of Hardware &amp; Equipment / Hours</t>
  </si>
  <si>
    <t>3.3.2</t>
  </si>
  <si>
    <t>3.3.3</t>
  </si>
  <si>
    <t>Integration of Probing devices on Exowing</t>
  </si>
  <si>
    <t>3.3.4</t>
  </si>
  <si>
    <t>integration of a Data Management system</t>
  </si>
  <si>
    <t>3.3.6</t>
  </si>
  <si>
    <t>Test &amp; Analysis / Hours</t>
  </si>
  <si>
    <t>3.3.7</t>
  </si>
  <si>
    <t>3.3.8</t>
  </si>
  <si>
    <t>Exopter / Ewing / APO</t>
  </si>
  <si>
    <t>3.4</t>
  </si>
  <si>
    <t>Communication systems</t>
  </si>
  <si>
    <t>3.4.1</t>
  </si>
  <si>
    <t>Study and intergration of Air to Air Bluetooth / DMC intercommunication</t>
  </si>
  <si>
    <t>3.4.2</t>
  </si>
  <si>
    <t>Study and intergration of VHF radio Air to Air / Air to Ground communication</t>
  </si>
  <si>
    <t>3.4.3</t>
  </si>
  <si>
    <t>procurement VHF and Cardo</t>
  </si>
  <si>
    <t>3.4.4</t>
  </si>
  <si>
    <t>3.4.5</t>
  </si>
  <si>
    <t>3.4.6</t>
  </si>
  <si>
    <t>drafting of progress reports</t>
  </si>
  <si>
    <t>Exopter / E-wings / APO</t>
  </si>
  <si>
    <t>3.5</t>
  </si>
  <si>
    <t>Payload pre design</t>
  </si>
  <si>
    <t>3.5.1</t>
  </si>
  <si>
    <t>study of payload container, aerodynamic &amp; structure, performance influence</t>
  </si>
  <si>
    <t>3.6</t>
  </si>
  <si>
    <t>Intergration Approval Tests</t>
  </si>
  <si>
    <t>3.6.1</t>
  </si>
  <si>
    <t>Integration tests of Dummy systems</t>
  </si>
  <si>
    <t>Parachute Design</t>
  </si>
  <si>
    <t>4.1</t>
  </si>
  <si>
    <t>Definition and analysis of main parachute components (canopy, reserve, AAD, handles type and position)</t>
  </si>
  <si>
    <t>Exopter / E-Wings / APO / S.Zunino / Jim Parachutisme / FireBird / Performance Design (PD)</t>
  </si>
  <si>
    <t>4.2</t>
  </si>
  <si>
    <t>Study of a specific opening sequence for the main parachute</t>
  </si>
  <si>
    <t>Exopter / E-Wings / APO / S.Zunino / Jim Parachutisme / FireBird / PD</t>
  </si>
  <si>
    <t>4.3</t>
  </si>
  <si>
    <t>Study of Cut-away sequence</t>
  </si>
  <si>
    <t>Exopter / E-Wings / APO / S.Zunino / Jim Parachutisme / FireBird</t>
  </si>
  <si>
    <t>4.4</t>
  </si>
  <si>
    <t>Parachute modifications</t>
  </si>
  <si>
    <t>4.5</t>
  </si>
  <si>
    <r>
      <rPr>
        <rFont val="Arial"/>
        <color theme="1"/>
        <sz val="11.0"/>
      </rPr>
      <t xml:space="preserve">Traval expenses to FireBird Workshop
</t>
    </r>
    <r>
      <rPr>
        <rFont val="Arial"/>
        <i/>
        <color theme="1"/>
        <sz val="11.0"/>
      </rPr>
      <t>Germany -  2x 1 week</t>
    </r>
  </si>
  <si>
    <t>Exopter</t>
  </si>
  <si>
    <t>4.6</t>
  </si>
  <si>
    <t>Intergration of main parachute with Seat and Exowing</t>
  </si>
  <si>
    <t>4.7</t>
  </si>
  <si>
    <t>Prototype Exowing GLD#1 production</t>
  </si>
  <si>
    <t>5.1</t>
  </si>
  <si>
    <t>Wing Molds</t>
  </si>
  <si>
    <t>C.Thebault / AAB / Exopter / APO</t>
  </si>
  <si>
    <t>5.2</t>
  </si>
  <si>
    <t>Wing Composite material + Assembly</t>
  </si>
  <si>
    <t>5.3</t>
  </si>
  <si>
    <t>Wing finishing &amp; Painting</t>
  </si>
  <si>
    <t>Exopter / APO</t>
  </si>
  <si>
    <t>5.4</t>
  </si>
  <si>
    <t>Pilot Seat - Material + Assembly</t>
  </si>
  <si>
    <t>5.5</t>
  </si>
  <si>
    <t>Hook - Material + Assembly of a complete attachment system between Wings and Pilot Seat</t>
  </si>
  <si>
    <t>5.6</t>
  </si>
  <si>
    <t>Parachute Harness production &amp; modifications</t>
  </si>
  <si>
    <t>FireBird</t>
  </si>
  <si>
    <t>5.7</t>
  </si>
  <si>
    <t>Main Canopy + Reserve Canopy Purchase</t>
  </si>
  <si>
    <t>Performance Design</t>
  </si>
  <si>
    <t>5.8</t>
  </si>
  <si>
    <t>AAD Automatic Activation Device</t>
  </si>
  <si>
    <t>Vigil AAD</t>
  </si>
  <si>
    <t>5.9</t>
  </si>
  <si>
    <t>FDR Flight Data Recorder</t>
  </si>
  <si>
    <t>Exopter / AAB / APO</t>
  </si>
  <si>
    <t>5.10</t>
  </si>
  <si>
    <t>5.11</t>
  </si>
  <si>
    <t>Rescue parachute for Jettison procedure</t>
  </si>
  <si>
    <t>Opale Parachutes</t>
  </si>
  <si>
    <t>5.12</t>
  </si>
  <si>
    <t>Jettison system hardware</t>
  </si>
  <si>
    <t>5.13</t>
  </si>
  <si>
    <t>Building a deployment POD, assembling and mounting of the rescue parachute</t>
  </si>
  <si>
    <t>Jim Parachutisme</t>
  </si>
  <si>
    <t>5.14</t>
  </si>
  <si>
    <r>
      <rPr>
        <rFont val="Arial"/>
        <color theme="1"/>
        <sz val="11.0"/>
      </rPr>
      <t>Ground tests of attachment system and jettison procedures, integration and test of all systems</t>
    </r>
    <r>
      <rPr>
        <rFont val="Arial"/>
        <i/>
        <color theme="1"/>
        <sz val="11.0"/>
      </rPr>
      <t xml:space="preserve">
(incl. pilot + flight operator)</t>
    </r>
  </si>
  <si>
    <t>5.15</t>
  </si>
  <si>
    <t>Basic tests to validate mechanical aspects</t>
  </si>
  <si>
    <t>5.16</t>
  </si>
  <si>
    <t>Transport case</t>
  </si>
  <si>
    <t>5.17</t>
  </si>
  <si>
    <t>Onboard Camera</t>
  </si>
  <si>
    <t>Gopro / insta</t>
  </si>
  <si>
    <t>5.18</t>
  </si>
  <si>
    <t>Operational spare parts Handles + Rescue + Reserve POD + Hardware</t>
  </si>
  <si>
    <t>5.19</t>
  </si>
  <si>
    <t>advance</t>
  </si>
  <si>
    <t>M#1</t>
  </si>
  <si>
    <t>MS#1</t>
  </si>
  <si>
    <t>T0+3 - MILESTONE #1</t>
  </si>
  <si>
    <t>Prototype Exowing GLD#1 Tunnel Tests</t>
  </si>
  <si>
    <t>TASK 3.2</t>
  </si>
  <si>
    <t>6.1</t>
  </si>
  <si>
    <r>
      <rPr>
        <rFont val="Arial"/>
        <color theme="1"/>
        <sz val="11.0"/>
      </rPr>
      <t xml:space="preserve">Wind tunnel test - Private sessions - 20 hours
</t>
    </r>
    <r>
      <rPr>
        <rFont val="Arial"/>
        <i/>
        <color theme="1"/>
        <sz val="11.0"/>
      </rPr>
      <t>Bovec, Slovenia</t>
    </r>
  </si>
  <si>
    <t>Inclined Lab AB /
E-Wings / Aux Petits Oignons</t>
  </si>
  <si>
    <t>6.2</t>
  </si>
  <si>
    <r>
      <rPr>
        <rFont val="Arial"/>
        <color theme="1"/>
        <sz val="11.0"/>
      </rPr>
      <t xml:space="preserve">Team travel + shipping equipment
</t>
    </r>
    <r>
      <rPr>
        <rFont val="Arial"/>
        <i/>
        <color theme="1"/>
        <sz val="11.0"/>
      </rPr>
      <t>Bovec, Slovenia</t>
    </r>
  </si>
  <si>
    <t>6.3</t>
  </si>
  <si>
    <t>Analysis of Results and pre-flight Adjustments</t>
  </si>
  <si>
    <t>6.4</t>
  </si>
  <si>
    <t>Singapore Team Training &amp; Exowing Licence Examination</t>
  </si>
  <si>
    <t>TASK 5 &amp; 8</t>
  </si>
  <si>
    <t>7.1</t>
  </si>
  <si>
    <t>1st wingsuit training august 2026</t>
  </si>
  <si>
    <t>MS#2</t>
  </si>
  <si>
    <t>T0+6 - MILESTONE #2</t>
  </si>
  <si>
    <t>Parachute flight Tests - 50 JMP / 2 WEEK</t>
  </si>
  <si>
    <t>8.1</t>
  </si>
  <si>
    <r>
      <rPr>
        <rFont val="Arial"/>
        <color theme="1"/>
        <sz val="11.0"/>
      </rPr>
      <t xml:space="preserve">Jump Tickets + packing
</t>
    </r>
    <r>
      <rPr>
        <rFont val="Arial"/>
        <i/>
        <color theme="1"/>
        <sz val="11.0"/>
      </rPr>
      <t>Airplane type : any skydiving airplane</t>
    </r>
  </si>
  <si>
    <t>Drop Zone</t>
  </si>
  <si>
    <t>8.2</t>
  </si>
  <si>
    <r>
      <rPr>
        <rFont val="Arial"/>
        <color theme="1"/>
        <sz val="11.0"/>
      </rPr>
      <t xml:space="preserve">in-flight tests Team fares / Hours
</t>
    </r>
    <r>
      <rPr>
        <rFont val="Arial"/>
        <i/>
        <color theme="1"/>
        <sz val="11.0"/>
      </rPr>
      <t>(incl. pilot + flight operator + engineer)</t>
    </r>
  </si>
  <si>
    <t>8.3</t>
  </si>
  <si>
    <r>
      <rPr>
        <rFont val="Arial"/>
        <color theme="1"/>
        <sz val="11.0"/>
      </rPr>
      <t>Team Travel expenses to airfields + accommodation</t>
    </r>
    <r>
      <rPr>
        <rFont val="Arial"/>
        <i/>
        <color theme="1"/>
        <sz val="11.0"/>
      </rPr>
      <t xml:space="preserve">
France</t>
    </r>
  </si>
  <si>
    <t xml:space="preserve">Exopter / E-Wings / APO
</t>
  </si>
  <si>
    <t>8.4</t>
  </si>
  <si>
    <t>Analysis &amp; Modification</t>
  </si>
  <si>
    <t>8.5</t>
  </si>
  <si>
    <t>Prototype Exowing GLD#1 1st Flight Tests - 10 FLT / 1 WEEK</t>
  </si>
  <si>
    <t>9.1</t>
  </si>
  <si>
    <r>
      <rPr>
        <rFont val="Arial"/>
        <color theme="1"/>
        <sz val="11.0"/>
      </rPr>
      <t xml:space="preserve">Test Pilot specific preliminary training
</t>
    </r>
    <r>
      <rPr>
        <rFont val="Arial"/>
        <i/>
        <color theme="1"/>
        <sz val="11.0"/>
      </rPr>
      <t>Wind tunnel, Freefly, Wingsuit, Canopy piloting</t>
    </r>
  </si>
  <si>
    <t>9.2</t>
  </si>
  <si>
    <r>
      <rPr>
        <rFont val="Arial"/>
        <color theme="1"/>
        <sz val="11.0"/>
      </rPr>
      <t xml:space="preserve">Organization &amp; Authorizations
</t>
    </r>
    <r>
      <rPr>
        <rFont val="Arial"/>
        <i/>
        <color theme="1"/>
        <sz val="11.0"/>
      </rPr>
      <t>airspace, landing, coordination</t>
    </r>
  </si>
  <si>
    <t>9.3</t>
  </si>
  <si>
    <r>
      <rPr>
        <rFont val="Arial"/>
        <color theme="1"/>
        <sz val="11.0"/>
      </rPr>
      <t xml:space="preserve">Aircraft rotations for in-flight tests + ground safety
</t>
    </r>
    <r>
      <rPr>
        <rFont val="Arial"/>
        <i/>
        <color theme="1"/>
        <sz val="11.0"/>
      </rPr>
      <t>Airplane type Helicopter or back door airplane</t>
    </r>
  </si>
  <si>
    <t>Aircraft owner</t>
  </si>
  <si>
    <t>9.4</t>
  </si>
  <si>
    <r>
      <rPr>
        <rFont val="Arial"/>
        <color theme="1"/>
        <sz val="11.0"/>
      </rPr>
      <t xml:space="preserve">in-flight tests Team fares / Hours
</t>
    </r>
    <r>
      <rPr>
        <rFont val="Arial"/>
        <i/>
        <color theme="1"/>
        <sz val="11.0"/>
      </rPr>
      <t>(incl. pilot + flight operator + engineer)</t>
    </r>
  </si>
  <si>
    <t>9.5</t>
  </si>
  <si>
    <r>
      <rPr>
        <rFont val="Arial"/>
        <color theme="1"/>
        <sz val="11.0"/>
      </rPr>
      <t>Travel expenses to airfields + Teams accommodation + System transport</t>
    </r>
    <r>
      <rPr>
        <rFont val="Arial"/>
        <i/>
        <color theme="1"/>
        <sz val="11.0"/>
      </rPr>
      <t xml:space="preserve">
1 week - France</t>
    </r>
  </si>
  <si>
    <t>9.6</t>
  </si>
  <si>
    <t>Analysis of possible modifications and improvement for Prototype #2</t>
  </si>
  <si>
    <t>9.7</t>
  </si>
  <si>
    <t>Unscheduled mandatory modifications to systems</t>
  </si>
  <si>
    <t>9.8</t>
  </si>
  <si>
    <t>Aviation products operational liability insurance / per year</t>
  </si>
  <si>
    <t>Exopter / MARSH</t>
  </si>
  <si>
    <t>9.9</t>
  </si>
  <si>
    <t>MS#3</t>
  </si>
  <si>
    <t>T0+8 - MILESTONE #3</t>
  </si>
  <si>
    <t>Prototype Exowing GLD#2 Production</t>
  </si>
  <si>
    <t>10.1</t>
  </si>
  <si>
    <t>10.2</t>
  </si>
  <si>
    <t>Wing Painting</t>
  </si>
  <si>
    <t>10.3</t>
  </si>
  <si>
    <t>10.4</t>
  </si>
  <si>
    <t>10.5</t>
  </si>
  <si>
    <t>10.6</t>
  </si>
  <si>
    <t>10.7</t>
  </si>
  <si>
    <t>10.8</t>
  </si>
  <si>
    <t>10.9</t>
  </si>
  <si>
    <t>10.10</t>
  </si>
  <si>
    <t>10.11</t>
  </si>
  <si>
    <t>10.12</t>
  </si>
  <si>
    <t>10.13</t>
  </si>
  <si>
    <r>
      <rPr>
        <rFont val="Arial"/>
        <color theme="1"/>
        <sz val="11.0"/>
      </rPr>
      <t>Ground tests of attachment system and jettison procedures, integration and test of all systems</t>
    </r>
    <r>
      <rPr>
        <rFont val="Arial"/>
        <i/>
        <color theme="1"/>
        <sz val="11.0"/>
      </rPr>
      <t xml:space="preserve">
(incl. pilot + flight operator)</t>
    </r>
  </si>
  <si>
    <t>10.14</t>
  </si>
  <si>
    <t>10.15</t>
  </si>
  <si>
    <t>10.16</t>
  </si>
  <si>
    <t>Gopro</t>
  </si>
  <si>
    <t>10.17</t>
  </si>
  <si>
    <t>Drafting of progress report</t>
  </si>
  <si>
    <t>M#3</t>
  </si>
  <si>
    <t>MS#4</t>
  </si>
  <si>
    <t>T0+9 - MILESTONE #4</t>
  </si>
  <si>
    <t>Prototype GLD#1 + GLD#2 Flight tests campaign #1 - 45 ROT / 3 WEEK - 2 PILOTS - 90 FLT</t>
  </si>
  <si>
    <t>11.1</t>
  </si>
  <si>
    <r>
      <rPr>
        <rFont val="Arial"/>
        <color theme="1"/>
        <sz val="11.0"/>
      </rPr>
      <t xml:space="preserve">Organization &amp; Authorizations
</t>
    </r>
    <r>
      <rPr>
        <rFont val="Arial"/>
        <i/>
        <color theme="1"/>
        <sz val="11.0"/>
      </rPr>
      <t>airspace, landing, coordination</t>
    </r>
  </si>
  <si>
    <t>11.2</t>
  </si>
  <si>
    <r>
      <rPr>
        <rFont val="Arial"/>
        <color theme="1"/>
        <sz val="11.0"/>
      </rPr>
      <t xml:space="preserve">Aircraft rotations for in-flight tests + ground safety
</t>
    </r>
    <r>
      <rPr>
        <rFont val="Arial"/>
        <i/>
        <color theme="1"/>
        <sz val="11.0"/>
      </rPr>
      <t>Airplane type Helicopter or back door airplane</t>
    </r>
  </si>
  <si>
    <t>11.3</t>
  </si>
  <si>
    <r>
      <rPr>
        <rFont val="Arial"/>
        <color theme="1"/>
        <sz val="11.0"/>
      </rPr>
      <t xml:space="preserve">in-flight tests - Team fares / Hours
</t>
    </r>
    <r>
      <rPr>
        <rFont val="Arial"/>
        <i/>
        <color theme="1"/>
        <sz val="11.0"/>
      </rPr>
      <t>(incl. pilots + flight operator + engineer)</t>
    </r>
  </si>
  <si>
    <t>11.4</t>
  </si>
  <si>
    <r>
      <rPr>
        <rFont val="Arial"/>
        <color theme="1"/>
        <sz val="11.0"/>
      </rPr>
      <t>Travel expenses to airfields + Teams accommodation + System transport</t>
    </r>
    <r>
      <rPr>
        <rFont val="Arial"/>
        <i/>
        <color theme="1"/>
        <sz val="11.0"/>
      </rPr>
      <t xml:space="preserve">
3 weeks - France</t>
    </r>
  </si>
  <si>
    <t>11.5</t>
  </si>
  <si>
    <t>Analysis of data and result assessment - Approval for Flight Tests Campaign #2 + Proto #2 et #3</t>
  </si>
  <si>
    <t>11.6</t>
  </si>
  <si>
    <t>MS#5</t>
  </si>
  <si>
    <t>T0+12 - MILESTONE #5</t>
  </si>
  <si>
    <t>Aero Design of an Exowing - Electric Powered version (EPW)</t>
  </si>
  <si>
    <t>TASK 1.2</t>
  </si>
  <si>
    <t>12.1</t>
  </si>
  <si>
    <t>12.2</t>
  </si>
  <si>
    <t>12.3</t>
  </si>
  <si>
    <t>12.4</t>
  </si>
  <si>
    <t>Designing Molds</t>
  </si>
  <si>
    <t>12.5</t>
  </si>
  <si>
    <t>Creating custom fan + Engine upgrade</t>
  </si>
  <si>
    <t>12.6</t>
  </si>
  <si>
    <t>Creating custom pylon and nacelle</t>
  </si>
  <si>
    <t>12.7</t>
  </si>
  <si>
    <t>12.8</t>
  </si>
  <si>
    <t>Engine Control system</t>
  </si>
  <si>
    <t>12.9</t>
  </si>
  <si>
    <t>Custom Battery design + BMS + ESC pre-test / sizing / location</t>
  </si>
  <si>
    <t>12.10</t>
  </si>
  <si>
    <t>12.11</t>
  </si>
  <si>
    <t>drafting of progress report</t>
  </si>
  <si>
    <t>MS#6</t>
  </si>
  <si>
    <t>T0+14 - MILESTONE #6</t>
  </si>
  <si>
    <t>Pilot Licence training program</t>
  </si>
  <si>
    <t>Elaborating training program</t>
  </si>
  <si>
    <t>Hard &amp; Soft copy of Pilot Licence training Program</t>
  </si>
  <si>
    <t>Pilot Equipment Design and Procurement</t>
  </si>
  <si>
    <t>13.1</t>
  </si>
  <si>
    <t>Definition and analysis of Main equipment components (suit, helmet, altimeters)</t>
  </si>
  <si>
    <t>13.2</t>
  </si>
  <si>
    <t>Definition and analysis of Secondary equipment components (gloves, googles, thermal layers, hook knife)</t>
  </si>
  <si>
    <t>13.3</t>
  </si>
  <si>
    <r>
      <rPr>
        <rFont val="Arial"/>
        <color theme="1"/>
        <sz val="11.0"/>
      </rPr>
      <t xml:space="preserve">Pilot main equipment components Procurement
</t>
    </r>
    <r>
      <rPr>
        <rFont val="Arial"/>
        <i/>
        <color theme="1"/>
        <sz val="11.0"/>
      </rPr>
      <t>suit, helmet, altimeters</t>
    </r>
  </si>
  <si>
    <t>13.4</t>
  </si>
  <si>
    <r>
      <rPr>
        <rFont val="Arial"/>
        <color theme="1"/>
        <sz val="11.0"/>
      </rPr>
      <t xml:space="preserve">Pilot secondary equipment components Procurement
</t>
    </r>
    <r>
      <rPr>
        <rFont val="Arial"/>
        <i/>
        <color theme="1"/>
        <sz val="11.0"/>
      </rPr>
      <t>gloves, googles, thermal layers, hook knife</t>
    </r>
  </si>
  <si>
    <t>13.5</t>
  </si>
  <si>
    <t>Onboard Camera + mounts + integration + SD card</t>
  </si>
  <si>
    <t>14.2</t>
  </si>
  <si>
    <r>
      <rPr>
        <rFont val="Arial"/>
        <color theme="1"/>
        <sz val="11.0"/>
      </rPr>
      <t xml:space="preserve">2nd Training - 4 to 5 weeks - MAY 2027
Wind Tunnel - Skydive with Wingsuit &amp; Exowing
Plane + Helicopter
</t>
    </r>
    <r>
      <rPr>
        <rFont val="Arial"/>
        <i/>
        <color theme="1"/>
        <sz val="11.0"/>
      </rPr>
      <t>France - Sweden - Slovenia MAY 2027</t>
    </r>
  </si>
  <si>
    <t>TOTAL PHASE 1 + TRAINING</t>
  </si>
  <si>
    <t>MS#7</t>
  </si>
  <si>
    <t>T0+15 - MILESTONE #7</t>
  </si>
  <si>
    <t>T1</t>
  </si>
  <si>
    <t>PHASE 2 - START T0+12</t>
  </si>
  <si>
    <t>ELECTRICAL CHAIN DESIGN, TESTING &amp; PROTO APPROVAL</t>
  </si>
  <si>
    <t>TASK 6.1</t>
  </si>
  <si>
    <t>14.1</t>
  </si>
  <si>
    <t>Model DS-215-DIA HST (195 mm)
Motor Type DSM 10066-290
controller MGM TMM 40063-3 X2-series 
 - 4 x EDF + ESC x3-series + propellers (test bench)</t>
  </si>
  <si>
    <t>Schuebler / APO / EXOPTER</t>
  </si>
  <si>
    <t>Building / testing custom Batteries + Charger</t>
  </si>
  <si>
    <t>Shield Robotics / APO / EXOPTER</t>
  </si>
  <si>
    <t>14.3</t>
  </si>
  <si>
    <t>Pilot command, Controller, BMS, Wiring</t>
  </si>
  <si>
    <t>14.4</t>
  </si>
  <si>
    <t>Custom design Fan production + Adaptation to motor + Test CW / CCW</t>
  </si>
  <si>
    <t>AAB / Schuebler / APO / EXOPTER</t>
  </si>
  <si>
    <t>14.5</t>
  </si>
  <si>
    <t>Test campaign</t>
  </si>
  <si>
    <t>Exowing PROTOTYPE EPW#1 production</t>
  </si>
  <si>
    <t>15.1</t>
  </si>
  <si>
    <t>Motorization for 1 system
Model DS-215-DIA HST (195 mm)
Motor Type DSM 10066-290
controller MGM TMM 40063-3 X2-series 
 - 4 x EDF + ESC + propellers
 - 2 x spare propellers</t>
  </si>
  <si>
    <t>Schuebler/ APO / EXOPTER</t>
  </si>
  <si>
    <t>15.2</t>
  </si>
  <si>
    <t>Custom fan molds CW &amp; CCW</t>
  </si>
  <si>
    <t>15.3</t>
  </si>
  <si>
    <t>Custom fan material + assembly</t>
  </si>
  <si>
    <t>15.4</t>
  </si>
  <si>
    <t>Batteries
2 x sets of custom batteries for 14S EDF</t>
  </si>
  <si>
    <t>AAB / APO / EXOPTER</t>
  </si>
  <si>
    <t>15.5</t>
  </si>
  <si>
    <t xml:space="preserve">Electronics &amp; Wiring </t>
  </si>
  <si>
    <t>Exopter / APO / Shield Robotics</t>
  </si>
  <si>
    <t>15.6</t>
  </si>
  <si>
    <t>15.7</t>
  </si>
  <si>
    <t>15.8</t>
  </si>
  <si>
    <t>15.9</t>
  </si>
  <si>
    <t>15.10</t>
  </si>
  <si>
    <t>15.11</t>
  </si>
  <si>
    <t>15.12</t>
  </si>
  <si>
    <t>15.13</t>
  </si>
  <si>
    <t>15.14</t>
  </si>
  <si>
    <t>15.15</t>
  </si>
  <si>
    <t>15.16</t>
  </si>
  <si>
    <t>15.17</t>
  </si>
  <si>
    <t>15.18</t>
  </si>
  <si>
    <t>15.19</t>
  </si>
  <si>
    <r>
      <rPr>
        <rFont val="Arial"/>
        <color theme="1"/>
        <sz val="11.0"/>
      </rPr>
      <t>Ground tests of attachment system and jettison procedures, integration and test of all systems</t>
    </r>
    <r>
      <rPr>
        <rFont val="Arial"/>
        <i/>
        <color theme="1"/>
        <sz val="11.0"/>
      </rPr>
      <t xml:space="preserve">
(incl. pilot + flight operator)</t>
    </r>
  </si>
  <si>
    <t>15.20</t>
  </si>
  <si>
    <t>15.21</t>
  </si>
  <si>
    <t>15.22</t>
  </si>
  <si>
    <t>15.23</t>
  </si>
  <si>
    <t>Operational spare parts - Handles + Rescue + Reserve POD + Hardware</t>
  </si>
  <si>
    <t>15.24</t>
  </si>
  <si>
    <t>MS#8</t>
  </si>
  <si>
    <t>TO+18 MILESTONE #8</t>
  </si>
  <si>
    <t>Exowing PROTOTYPE EPW#1 Tunnel Tests</t>
  </si>
  <si>
    <t>TASK 6.2</t>
  </si>
  <si>
    <t>16.1</t>
  </si>
  <si>
    <r>
      <rPr>
        <rFont val="Arial"/>
        <color theme="1"/>
        <sz val="11.0"/>
      </rPr>
      <t xml:space="preserve">Wind tunnel test - Private sessions - 20 hours
</t>
    </r>
    <r>
      <rPr>
        <rFont val="Arial"/>
        <i/>
        <color theme="1"/>
        <sz val="11.0"/>
      </rPr>
      <t>Stockholm, Sweden</t>
    </r>
  </si>
  <si>
    <t>16.2</t>
  </si>
  <si>
    <r>
      <rPr>
        <rFont val="Arial"/>
        <color theme="1"/>
        <sz val="11.0"/>
      </rPr>
      <t xml:space="preserve">Team travel + shipping equipment
</t>
    </r>
    <r>
      <rPr>
        <rFont val="Arial"/>
        <i/>
        <color theme="1"/>
        <sz val="11.0"/>
      </rPr>
      <t>Stockholm, Sweden</t>
    </r>
  </si>
  <si>
    <t>16.3</t>
  </si>
  <si>
    <t>16.4</t>
  </si>
  <si>
    <t>Parachute flight Tests</t>
  </si>
  <si>
    <t>17.1</t>
  </si>
  <si>
    <r>
      <rPr>
        <rFont val="Arial"/>
        <color theme="1"/>
        <sz val="11.0"/>
      </rPr>
      <t xml:space="preserve">Jump Tickets + packing
</t>
    </r>
    <r>
      <rPr>
        <rFont val="Arial"/>
        <i/>
        <color theme="1"/>
        <sz val="11.0"/>
      </rPr>
      <t>Airplane type : any skydiving airplane</t>
    </r>
  </si>
  <si>
    <t>17.2</t>
  </si>
  <si>
    <r>
      <rPr>
        <rFont val="Arial"/>
        <color theme="1"/>
        <sz val="11.0"/>
      </rPr>
      <t xml:space="preserve">in-flight tests Team fares / Hours
</t>
    </r>
    <r>
      <rPr>
        <rFont val="Arial"/>
        <i/>
        <color theme="1"/>
        <sz val="11.0"/>
      </rPr>
      <t>(incl. pilot + flight operators + engineers)</t>
    </r>
  </si>
  <si>
    <t>17.3</t>
  </si>
  <si>
    <r>
      <rPr>
        <rFont val="Arial"/>
        <color theme="1"/>
        <sz val="11.0"/>
      </rPr>
      <t>Team Travel expenses to airfields + accommodation</t>
    </r>
    <r>
      <rPr>
        <rFont val="Arial"/>
        <i/>
        <color theme="1"/>
        <sz val="11.0"/>
      </rPr>
      <t xml:space="preserve">
France</t>
    </r>
  </si>
  <si>
    <t>17.4</t>
  </si>
  <si>
    <t>17.5</t>
  </si>
  <si>
    <t>MS#9</t>
  </si>
  <si>
    <t>TO+21 MILESTONE #9</t>
  </si>
  <si>
    <t>Exowing EPW#1 + GLD#1 Flight tests campaign #2 - 45 ROT / 3 WEEK</t>
  </si>
  <si>
    <t>18.1</t>
  </si>
  <si>
    <r>
      <rPr>
        <rFont val="Arial"/>
        <color theme="1"/>
        <sz val="11.0"/>
      </rPr>
      <t xml:space="preserve">Organization &amp; Authorizations
</t>
    </r>
    <r>
      <rPr>
        <rFont val="Arial"/>
        <i/>
        <color theme="1"/>
        <sz val="11.0"/>
      </rPr>
      <t>airspace, landing, coordination</t>
    </r>
  </si>
  <si>
    <t>18.2</t>
  </si>
  <si>
    <r>
      <rPr>
        <rFont val="Arial"/>
        <color theme="1"/>
        <sz val="11.0"/>
      </rPr>
      <t xml:space="preserve">Aircraft rotations for in-flight tests + ground safety
</t>
    </r>
    <r>
      <rPr>
        <rFont val="Arial"/>
        <i/>
        <color theme="1"/>
        <sz val="11.0"/>
      </rPr>
      <t>Airplane type Helicopter or back door airplane</t>
    </r>
  </si>
  <si>
    <t>18.3</t>
  </si>
  <si>
    <r>
      <rPr>
        <rFont val="Arial"/>
        <color theme="1"/>
        <sz val="11.0"/>
      </rPr>
      <t xml:space="preserve">in-flight tests - Team fares / Hours
</t>
    </r>
    <r>
      <rPr>
        <rFont val="Arial"/>
        <i/>
        <color theme="1"/>
        <sz val="11.0"/>
      </rPr>
      <t>(incl. pilot + flight operators + engineers)</t>
    </r>
  </si>
  <si>
    <t>18.4</t>
  </si>
  <si>
    <r>
      <rPr>
        <rFont val="Arial"/>
        <color theme="1"/>
        <sz val="11.0"/>
      </rPr>
      <t>Travel expenses to airfields + Teams accommodation + System transport</t>
    </r>
    <r>
      <rPr>
        <rFont val="Arial"/>
        <i/>
        <color theme="1"/>
        <sz val="11.0"/>
      </rPr>
      <t xml:space="preserve">
3 weeks - France</t>
    </r>
  </si>
  <si>
    <t>18.5</t>
  </si>
  <si>
    <t>Analysis of data and result assessment</t>
  </si>
  <si>
    <t>18.6</t>
  </si>
  <si>
    <t>Acceptance tests - Official performance demonstration</t>
  </si>
  <si>
    <t>19.1</t>
  </si>
  <si>
    <t>1 week - All completed Exowing tests</t>
  </si>
  <si>
    <t>Exopter / E-Wings / APO / Singapore Team</t>
  </si>
  <si>
    <t>19.2</t>
  </si>
  <si>
    <t>Performance flight by an Exowing instructor</t>
  </si>
  <si>
    <t>MS#10</t>
  </si>
  <si>
    <t>T0+24 - MILESTONE #10</t>
  </si>
  <si>
    <t>T1+12</t>
  </si>
  <si>
    <t>TOTAL  PHASE 2</t>
  </si>
  <si>
    <t>T0+24</t>
  </si>
  <si>
    <t>TOTAL  PHASE 1 + PHASE 2 + TRAINING</t>
  </si>
  <si>
    <t>SOMME MILESTONES</t>
  </si>
  <si>
    <t>OK</t>
  </si>
  <si>
    <t>OPTIONS</t>
  </si>
  <si>
    <t>Singapore Team Training - Extra pilots on planned Trainings</t>
  </si>
  <si>
    <t>20.1</t>
  </si>
  <si>
    <r>
      <rPr>
        <rFont val="Arial"/>
        <b/>
        <color theme="1"/>
        <sz val="11.0"/>
      </rPr>
      <t>1st Extra Pilot</t>
    </r>
    <r>
      <rPr>
        <rFont val="Arial"/>
        <color theme="1"/>
        <sz val="11.0"/>
      </rPr>
      <t xml:space="preserve"> (3 pilots total) - Wingsuit training - 5 weeks - August / September 2026</t>
    </r>
  </si>
  <si>
    <t>20.2</t>
  </si>
  <si>
    <r>
      <rPr>
        <rFont val="Arial"/>
        <b/>
        <color theme="1"/>
        <sz val="11.0"/>
      </rPr>
      <t>2nd Extra Pilot</t>
    </r>
    <r>
      <rPr>
        <rFont val="Arial"/>
        <color theme="1"/>
        <sz val="11.0"/>
      </rPr>
      <t xml:space="preserve"> (4 pilots total) - Wingsuit training - 5 weeks - August / September 2026</t>
    </r>
  </si>
  <si>
    <t>20.3</t>
  </si>
  <si>
    <r>
      <rPr>
        <rFont val="Arial"/>
        <b/>
        <color theme="1"/>
        <sz val="11.0"/>
      </rPr>
      <t>1st Extra Pilot</t>
    </r>
    <r>
      <rPr>
        <rFont val="Arial"/>
        <color theme="1"/>
        <sz val="11.0"/>
      </rPr>
      <t xml:space="preserve"> (3 pilots total) - 2nd Training - 5 weeks - May 2027
Wind Tunnel - Skydive with Wingsuit &amp; Exowing
Plane + Helicopter
</t>
    </r>
    <r>
      <rPr>
        <rFont val="Arial"/>
        <i/>
        <color theme="1"/>
        <sz val="11.0"/>
      </rPr>
      <t>France - Sweden - Slovenia</t>
    </r>
  </si>
  <si>
    <t>Exopter / E-Wings / APO / Savoie Hélicoptère</t>
  </si>
  <si>
    <t>20.4</t>
  </si>
  <si>
    <r>
      <rPr>
        <rFont val="Arial"/>
        <b/>
        <color theme="1"/>
        <sz val="11.0"/>
      </rPr>
      <t>2nd Extra Pilot</t>
    </r>
    <r>
      <rPr>
        <rFont val="Arial"/>
        <color theme="1"/>
        <sz val="11.0"/>
      </rPr>
      <t xml:space="preserve"> (4 pilots total) - 2nd Training - 5 weeks - May 2027
Wind Tunnel - Skydive with Wingsuit &amp; Exowing
Plane + Helicopter
</t>
    </r>
    <r>
      <rPr>
        <rFont val="Arial"/>
        <i/>
        <color theme="1"/>
        <sz val="11.0"/>
      </rPr>
      <t>France - Sweden - Slovenia</t>
    </r>
  </si>
  <si>
    <t>Singapore Team Extra Training &amp; Exowing Licence Examination</t>
  </si>
  <si>
    <t>21.1</t>
  </si>
  <si>
    <r>
      <rPr>
        <rFont val="Arial"/>
        <b/>
        <color theme="1"/>
        <sz val="11.0"/>
      </rPr>
      <t>1st Pilot</t>
    </r>
    <r>
      <rPr>
        <rFont val="Arial"/>
        <color theme="1"/>
        <sz val="11.0"/>
      </rPr>
      <t xml:space="preserve"> Training - 5 weeks - MAY 2028 / 2029
Wind Tunnel - Skydive with Exowing
Helicopter
</t>
    </r>
    <r>
      <rPr>
        <rFont val="Arial"/>
        <i/>
        <color theme="1"/>
        <sz val="11.0"/>
      </rPr>
      <t>France - Sweden - Slovenia</t>
    </r>
  </si>
  <si>
    <t>21.2</t>
  </si>
  <si>
    <r>
      <rPr>
        <rFont val="Arial"/>
        <b/>
        <color theme="1"/>
        <sz val="11.0"/>
      </rPr>
      <t>2nd Pilo</t>
    </r>
    <r>
      <rPr>
        <rFont val="Arial"/>
        <color theme="1"/>
        <sz val="11.0"/>
      </rPr>
      <t xml:space="preserve">t Training - 5 weeks - MAY 2028 / 2029
Wind Tunnel - Skydive with Exowing
Helicopter
</t>
    </r>
    <r>
      <rPr>
        <rFont val="Arial"/>
        <i/>
        <color theme="1"/>
        <sz val="11.0"/>
      </rPr>
      <t>France - Sweden - Slovenia</t>
    </r>
  </si>
  <si>
    <t>21.3</t>
  </si>
  <si>
    <r>
      <rPr>
        <rFont val="Arial"/>
        <b/>
        <color theme="1"/>
        <sz val="11.0"/>
      </rPr>
      <t>3rd Pilot</t>
    </r>
    <r>
      <rPr>
        <rFont val="Arial"/>
        <color theme="1"/>
        <sz val="11.0"/>
      </rPr>
      <t xml:space="preserve"> Training - 5 weeks - MAY 2028 / 2029
Wind Tunnel - Skydive with Exowing
Helicopter
</t>
    </r>
    <r>
      <rPr>
        <rFont val="Arial"/>
        <i/>
        <color theme="1"/>
        <sz val="11.0"/>
      </rPr>
      <t>France - Sweden - Slovenia</t>
    </r>
  </si>
  <si>
    <r>
      <rPr>
        <rFont val="Arial"/>
        <b/>
        <color theme="1"/>
        <sz val="11.0"/>
      </rPr>
      <t>4th Pilot</t>
    </r>
    <r>
      <rPr>
        <rFont val="Arial"/>
        <color theme="1"/>
        <sz val="11.0"/>
      </rPr>
      <t xml:space="preserve"> Training - 5 weeks - MAY 2028 / 2029
Wind Tunnel - Skydive with Exowing
Helicopter
</t>
    </r>
    <r>
      <rPr>
        <rFont val="Arial"/>
        <i/>
        <color theme="1"/>
        <sz val="11.0"/>
      </rPr>
      <t>France - Sweden - Slovenia</t>
    </r>
  </si>
  <si>
    <t>Certification of Exowing GLD - Compliance &amp; Quality inspection Wing + Systems + Equipment - Use of GLD#2 as sample</t>
  </si>
  <si>
    <t>22.1</t>
  </si>
  <si>
    <t>Production of Exowing GLD#3</t>
  </si>
  <si>
    <t>C.Thebault / SC Aero / AAB / Exopter / APO</t>
  </si>
  <si>
    <t>22.2</t>
  </si>
  <si>
    <t>Electro Magnetic Compatibility / EMI</t>
  </si>
  <si>
    <t>Exopter / tektronix</t>
  </si>
  <si>
    <t>22.3</t>
  </si>
  <si>
    <r>
      <rPr>
        <rFont val="Arial"/>
        <color theme="1"/>
        <sz val="11.0"/>
      </rPr>
      <t xml:space="preserve">Environemental worthiness tests MIL-STD-810G
</t>
    </r>
    <r>
      <rPr>
        <rFont val="Arial"/>
        <i/>
        <color theme="1"/>
        <sz val="11.0"/>
      </rPr>
      <t>Destruction of Exowing GLD#2</t>
    </r>
  </si>
  <si>
    <t>Exopter / Applus</t>
  </si>
  <si>
    <t>22.4</t>
  </si>
  <si>
    <t>Analysis of data and result assessment - Certification of Exowing GLD#1 + GLD#3 + All future Exowing GLD</t>
  </si>
  <si>
    <t>22.5</t>
  </si>
  <si>
    <t>Flight certification / Airworthiness approval</t>
  </si>
  <si>
    <t>22.6</t>
  </si>
  <si>
    <t>Drafting of progress report &amp; Documentation</t>
  </si>
  <si>
    <t>Exowing SERIES GLD PRODUCTION</t>
  </si>
  <si>
    <t>23.1</t>
  </si>
  <si>
    <t>Wing Molds preparation and calibration</t>
  </si>
  <si>
    <t>C.Thebault  / SC Aero / AAB / Exopter / APO</t>
  </si>
  <si>
    <t>23.2</t>
  </si>
  <si>
    <t>23.3</t>
  </si>
  <si>
    <t>23.4</t>
  </si>
  <si>
    <t>23.5</t>
  </si>
  <si>
    <t>23.6</t>
  </si>
  <si>
    <t>Parachute Harness production</t>
  </si>
  <si>
    <t>23.7</t>
  </si>
  <si>
    <t>23.8</t>
  </si>
  <si>
    <t>23.9</t>
  </si>
  <si>
    <t>23.10</t>
  </si>
  <si>
    <t>23.11</t>
  </si>
  <si>
    <t>23.12</t>
  </si>
  <si>
    <t>23.13</t>
  </si>
  <si>
    <t>23.14</t>
  </si>
  <si>
    <r>
      <rPr>
        <rFont val="Arial"/>
        <color theme="1"/>
        <sz val="11.0"/>
      </rPr>
      <t>Ground tests of attachment system and jettison procedures, integration and test of all systems</t>
    </r>
    <r>
      <rPr>
        <rFont val="Arial"/>
        <i/>
        <color theme="1"/>
        <sz val="11.0"/>
      </rPr>
      <t xml:space="preserve">
(incl. pilot + flight operator)</t>
    </r>
  </si>
  <si>
    <t>23.15</t>
  </si>
  <si>
    <t>23.16</t>
  </si>
  <si>
    <t>23.17</t>
  </si>
  <si>
    <t>In-Flight Tests &amp; Analysis of Results - 2 FLT</t>
  </si>
  <si>
    <t>23.18</t>
  </si>
  <si>
    <t>Documentation</t>
  </si>
  <si>
    <t>Certification of Exowing EPW - Compliance &amp; Quality inspection Wing + Engines + Batteries + Systems + Equipment - Use of EPW#1 as sample</t>
  </si>
  <si>
    <t>24.1</t>
  </si>
  <si>
    <t>Production of Exowing EPW#2</t>
  </si>
  <si>
    <t>24.2</t>
  </si>
  <si>
    <t>Electro Magnetic Compatibility EMC / EMI</t>
  </si>
  <si>
    <t>24.3</t>
  </si>
  <si>
    <t>Compliance Batteries</t>
  </si>
  <si>
    <t>shield robotics/APO/EWING/EXOPTER</t>
  </si>
  <si>
    <t>24.4</t>
  </si>
  <si>
    <t>Compliance EDF</t>
  </si>
  <si>
    <t>schuebler/ APO / EXOPTER</t>
  </si>
  <si>
    <t>24.5</t>
  </si>
  <si>
    <r>
      <rPr>
        <rFont val="Arial"/>
        <color theme="1"/>
        <sz val="11.0"/>
      </rPr>
      <t xml:space="preserve">Environemental worthiness tests MIL-STD-810G
</t>
    </r>
    <r>
      <rPr>
        <rFont val="Arial"/>
        <i/>
        <color theme="1"/>
        <sz val="11.0"/>
      </rPr>
      <t>Destruction of Exowing EPW#1</t>
    </r>
  </si>
  <si>
    <t>24.6</t>
  </si>
  <si>
    <t>24.7</t>
  </si>
  <si>
    <t>Analysis of data and result assessment - Certification of Exowing EPW#2 + All future EPW</t>
  </si>
  <si>
    <t>24.8</t>
  </si>
  <si>
    <t>Exowing SERIES EPW production</t>
  </si>
  <si>
    <t>25.1</t>
  </si>
  <si>
    <t>25.2</t>
  </si>
  <si>
    <t>Custom fan molds CW &amp; CCW preparation and calibration</t>
  </si>
  <si>
    <t>25.3</t>
  </si>
  <si>
    <t>25.4</t>
  </si>
  <si>
    <t>Batteries
1 x set of custom batteries for 14S EDF</t>
  </si>
  <si>
    <t>25.5</t>
  </si>
  <si>
    <t>25.6</t>
  </si>
  <si>
    <t>25.7</t>
  </si>
  <si>
    <t>25.8</t>
  </si>
  <si>
    <t>25.9</t>
  </si>
  <si>
    <t>25.10</t>
  </si>
  <si>
    <t>25.11</t>
  </si>
  <si>
    <t>25.12</t>
  </si>
  <si>
    <t>25.13</t>
  </si>
  <si>
    <t>25.14</t>
  </si>
  <si>
    <t>25.15</t>
  </si>
  <si>
    <t>25.16</t>
  </si>
  <si>
    <t>25.17</t>
  </si>
  <si>
    <t>25.18</t>
  </si>
  <si>
    <t>Jim Parachutisme / Zunino</t>
  </si>
  <si>
    <t>25.19</t>
  </si>
  <si>
    <r>
      <rPr>
        <rFont val="Arial"/>
        <color theme="1"/>
        <sz val="11.0"/>
      </rPr>
      <t>Ground tests of attachment system and jettison procedures, integration and test of all systems</t>
    </r>
    <r>
      <rPr>
        <rFont val="Arial"/>
        <i/>
        <color theme="1"/>
        <sz val="11.0"/>
      </rPr>
      <t xml:space="preserve">
(incl. pilot + flight operator)</t>
    </r>
  </si>
  <si>
    <t>25.20</t>
  </si>
  <si>
    <t>25.21</t>
  </si>
  <si>
    <t>25.22</t>
  </si>
  <si>
    <t>25.23</t>
  </si>
  <si>
    <t>integration of information display</t>
  </si>
  <si>
    <t>26.1</t>
  </si>
  <si>
    <r>
      <rPr>
        <rFont val="Arial"/>
        <color theme="1"/>
        <sz val="11.0"/>
      </rPr>
      <t xml:space="preserve">Helmet stereoscopic data display / per helmet
</t>
    </r>
    <r>
      <rPr>
        <rFont val="Arial"/>
        <i/>
        <color theme="1"/>
        <sz val="11.0"/>
      </rPr>
      <t>Modular configuration, including air speed, glide, height, compass, destination heading, artificial horizon, battery endurance and power, alarms, TCAS with other pilots.</t>
    </r>
  </si>
  <si>
    <t>Exopter / APO / E-Wings</t>
  </si>
  <si>
    <t>26.2</t>
  </si>
  <si>
    <t>Payload Container Production + 10 Flights test</t>
  </si>
  <si>
    <t>27.1</t>
  </si>
  <si>
    <r>
      <rPr>
        <rFont val="Arial"/>
        <color theme="1"/>
        <sz val="11.0"/>
      </rPr>
      <t xml:space="preserve">Production of payload container following previous design + Operationnal adjustments
</t>
    </r>
    <r>
      <rPr>
        <rFont val="Arial"/>
        <i/>
        <color theme="1"/>
        <sz val="11.0"/>
      </rPr>
      <t>Carbon mold, materials, work hours, attachement and cut-away system</t>
    </r>
  </si>
  <si>
    <t>27.2</t>
  </si>
  <si>
    <r>
      <rPr>
        <rFont val="Arial"/>
        <color theme="1"/>
        <sz val="11.0"/>
      </rPr>
      <t>Ground tests of attachment system and jettison procedures, integration and test with all systems</t>
    </r>
    <r>
      <rPr>
        <rFont val="Arial"/>
        <i/>
        <color theme="1"/>
        <sz val="11.0"/>
      </rPr>
      <t xml:space="preserve">
(incl. pilot + flight operator)</t>
    </r>
  </si>
  <si>
    <t>27.3</t>
  </si>
  <si>
    <t>27.4</t>
  </si>
  <si>
    <r>
      <rPr>
        <rFont val="Arial"/>
        <color theme="1"/>
        <sz val="11.0"/>
      </rPr>
      <t xml:space="preserve">Organization &amp; Authorizations
</t>
    </r>
    <r>
      <rPr>
        <rFont val="Arial"/>
        <i/>
        <color theme="1"/>
        <sz val="11.0"/>
      </rPr>
      <t>airspace, landing, coordination</t>
    </r>
  </si>
  <si>
    <t>27.5</t>
  </si>
  <si>
    <r>
      <rPr>
        <rFont val="Arial"/>
        <color theme="1"/>
        <sz val="11.0"/>
      </rPr>
      <t xml:space="preserve">Aircraft rotations for in-flight tests + ground safety
</t>
    </r>
    <r>
      <rPr>
        <rFont val="Arial"/>
        <i/>
        <color theme="1"/>
        <sz val="11.0"/>
      </rPr>
      <t>Airplane type Helicopter or back door airplane</t>
    </r>
  </si>
  <si>
    <t>27.6</t>
  </si>
  <si>
    <r>
      <rPr>
        <rFont val="Arial"/>
        <color theme="1"/>
        <sz val="11.0"/>
      </rPr>
      <t xml:space="preserve">in-flight tests Team fares / Hours
</t>
    </r>
    <r>
      <rPr>
        <rFont val="Arial"/>
        <i/>
        <color theme="1"/>
        <sz val="11.0"/>
      </rPr>
      <t>(incl. pilot + flight operator + engineer)</t>
    </r>
  </si>
  <si>
    <t>27.7</t>
  </si>
  <si>
    <r>
      <rPr>
        <rFont val="Arial"/>
        <color theme="1"/>
        <sz val="11.0"/>
      </rPr>
      <t>Travel expenses to airfields + Teams accommodation + System transport</t>
    </r>
    <r>
      <rPr>
        <rFont val="Arial"/>
        <i/>
        <color theme="1"/>
        <sz val="11.0"/>
      </rPr>
      <t xml:space="preserve">
1 week - France</t>
    </r>
  </si>
  <si>
    <t>27.8</t>
  </si>
  <si>
    <t>Analysis of possible modifications and improvement for Payload version #2</t>
  </si>
  <si>
    <t>27.9</t>
  </si>
  <si>
    <t>27.10</t>
  </si>
  <si>
    <t>27.11</t>
  </si>
  <si>
    <t>Drafting of progress reports &amp; Documentation</t>
  </si>
  <si>
    <t>Landing assistance system</t>
  </si>
  <si>
    <t>28.1</t>
  </si>
  <si>
    <t>Analysis, Design, Production, and test of a Landing Assistance system allowing Exowing EPW to land with reasonnable weight supported by pilot.
Technology may vary according to discussion with User, Pilots, and feasibility</t>
  </si>
  <si>
    <t>Exopter / APO / AAB / Shield Robotics</t>
  </si>
  <si>
    <t>Operational spare parts</t>
  </si>
  <si>
    <t>29.1</t>
  </si>
  <si>
    <t>29.2</t>
  </si>
  <si>
    <t>Exowing Jettison handle</t>
  </si>
  <si>
    <t>29.3</t>
  </si>
  <si>
    <t>Main Canopy - Fire Bird Custom made</t>
  </si>
  <si>
    <t>29.4</t>
  </si>
  <si>
    <t>Reserve Canopy - Fire Bird "Rush" certified canopy</t>
  </si>
  <si>
    <t>29.5</t>
  </si>
  <si>
    <t>Reserve POD + Pilot Chute</t>
  </si>
  <si>
    <t>29.6</t>
  </si>
  <si>
    <t>Parachute main harness rig - Fire Bird "Evo" Custom made</t>
  </si>
  <si>
    <t>29.7</t>
  </si>
  <si>
    <t>Pilot Chute + Bridle + Spring system</t>
  </si>
  <si>
    <t>29.8</t>
  </si>
  <si>
    <t>OTS (Over the Shoulder) handles - Left and Right (2 handles)</t>
  </si>
  <si>
    <t>29.9</t>
  </si>
  <si>
    <t>Parachute Cutaway + Reserve handles (2 handles)</t>
  </si>
  <si>
    <t>29.10</t>
  </si>
  <si>
    <t>29.11</t>
  </si>
  <si>
    <t>29.12</t>
  </si>
  <si>
    <t>Fin / Vertical Stabilizer - Left or Right side</t>
  </si>
  <si>
    <t>29.13</t>
  </si>
  <si>
    <t>Seat custom padding</t>
  </si>
  <si>
    <t>29.14</t>
  </si>
  <si>
    <t>Seat Straps + Buckles - Complete set</t>
  </si>
  <si>
    <t>Pilot Equipment</t>
  </si>
  <si>
    <t>30.1</t>
  </si>
  <si>
    <r>
      <rPr>
        <rFont val="Arial"/>
        <color theme="1"/>
        <sz val="11.0"/>
      </rPr>
      <t xml:space="preserve">Pilot suit - Custom made
</t>
    </r>
    <r>
      <rPr>
        <rFont val="Arial"/>
        <i/>
        <color theme="1"/>
        <sz val="11.0"/>
      </rPr>
      <t>Freefly or Wind-tunnel type</t>
    </r>
  </si>
  <si>
    <t>Tonfly</t>
  </si>
  <si>
    <t>30.2</t>
  </si>
  <si>
    <r>
      <rPr>
        <rFont val="Arial"/>
        <color theme="1"/>
        <sz val="11.0"/>
      </rPr>
      <t xml:space="preserve">Pilot Helmet - Custom made
</t>
    </r>
    <r>
      <rPr>
        <rFont val="Arial"/>
        <i/>
        <color theme="1"/>
        <sz val="11.0"/>
      </rPr>
      <t>TFX Tonfly</t>
    </r>
  </si>
  <si>
    <t>30.3</t>
  </si>
  <si>
    <t>Shipping</t>
  </si>
  <si>
    <t>31.1</t>
  </si>
  <si>
    <t>Transport from France to Singapore + Insurance / per complete Exowing systems</t>
  </si>
  <si>
    <t>Fedex / Exopter</t>
  </si>
  <si>
    <t>31.2</t>
  </si>
  <si>
    <t>Team Travel Expenses</t>
  </si>
  <si>
    <t>Airline / Exopter</t>
  </si>
  <si>
    <t>MAINTENANCE</t>
  </si>
  <si>
    <t>16.9</t>
  </si>
  <si>
    <t>Spare Parts for Jettison and Cut-away - main canopy + emergency handles + reserve POD</t>
  </si>
  <si>
    <t>FireBird / Performance Design</t>
  </si>
  <si>
    <t>16.20</t>
  </si>
  <si>
    <r>
      <rPr>
        <rFont val="Arial"/>
        <color theme="1"/>
        <sz val="11.0"/>
      </rPr>
      <t xml:space="preserve">Pilot main equipment Procurement
</t>
    </r>
    <r>
      <rPr>
        <rFont val="Arial"/>
        <i/>
        <color theme="1"/>
        <sz val="11.0"/>
      </rPr>
      <t>suit, helmet, altimeters</t>
    </r>
  </si>
  <si>
    <t>16.21</t>
  </si>
  <si>
    <t>Pilot secondary equipment Procurement
gloves, googles, thermal layers, hook knife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</si>
</sst>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0\ [$€-40C]"/>
    <numFmt numFmtId="165" formatCode="#,##0.00\ [$€-1]"/>
    <numFmt numFmtId="166" formatCode="d\.m"/>
    <numFmt numFmtId="167" formatCode="#,##0.00\ &quot;€&quot;"/>
  </numFmts>
  <fonts count="22">
    <font>
      <sz val="10.0"/>
      <color theme="1"/>
      <name val="Arial"/>
      <scheme val="minor"/>
    </font>
    <font>
      <b/>
      <sz val="18.0"/>
      <color theme="1"/>
      <name val="Arial"/>
    </font>
    <font>
      <sz val="10.0"/>
      <color theme="1"/>
      <name val="Arial"/>
    </font>
    <font>
      <b/>
      <sz val="12.0"/>
      <color theme="1"/>
      <name val="Arial"/>
    </font>
    <font>
      <b/>
      <sz val="14.0"/>
      <color rgb="FFFFFFFF"/>
      <name val="Arial"/>
    </font>
    <font/>
    <font>
      <b/>
      <sz val="14.0"/>
      <color theme="1"/>
      <name val="Arial"/>
    </font>
    <font>
      <sz val="14.0"/>
      <color theme="1"/>
      <name val="Arial"/>
    </font>
    <font>
      <b/>
      <sz val="18.0"/>
      <color theme="1"/>
      <name val="Aharoni"/>
    </font>
    <font>
      <b/>
      <sz val="12.0"/>
      <color theme="0"/>
      <name val="Arial"/>
    </font>
    <font>
      <b/>
      <sz val="16.0"/>
      <color theme="0"/>
      <name val="Arial"/>
    </font>
    <font>
      <sz val="12.0"/>
      <color theme="0"/>
      <name val="Arial"/>
    </font>
    <font>
      <sz val="12.0"/>
      <color theme="1"/>
      <name val="Arial"/>
    </font>
    <font>
      <b/>
      <sz val="10.0"/>
      <color theme="1"/>
      <name val="Arial"/>
    </font>
    <font>
      <b/>
      <sz val="11.0"/>
      <color rgb="FFFFFFFF"/>
      <name val="Arial"/>
    </font>
    <font>
      <sz val="11.0"/>
      <color theme="1"/>
      <name val="Arial"/>
    </font>
    <font>
      <b/>
      <sz val="11.0"/>
      <color theme="1"/>
      <name val="Arial"/>
    </font>
    <font>
      <sz val="11.0"/>
      <color theme="0"/>
      <name val="Arial"/>
    </font>
    <font>
      <b/>
      <sz val="11.0"/>
      <color theme="0"/>
      <name val="Arial"/>
    </font>
    <font>
      <b/>
      <sz val="10.0"/>
      <color theme="0"/>
      <name val="Arial"/>
    </font>
    <font>
      <b/>
      <sz val="18.0"/>
      <color theme="0"/>
      <name val="Arial"/>
    </font>
    <font>
      <b/>
      <sz val="10.0"/>
      <color rgb="FFFFFFFF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D9E6FC"/>
        <bgColor rgb="FFD9E6FC"/>
      </patternFill>
    </fill>
    <fill>
      <patternFill patternType="solid">
        <fgColor rgb="FF7F7F7F"/>
        <bgColor rgb="FF7F7F7F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892187"/>
        <bgColor rgb="FF892187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00B050"/>
        <bgColor rgb="FF00B050"/>
      </patternFill>
    </fill>
    <fill>
      <patternFill patternType="solid">
        <fgColor rgb="FF92D050"/>
        <bgColor rgb="FF92D050"/>
      </patternFill>
    </fill>
  </fills>
  <borders count="60">
    <border/>
    <border>
      <left style="thin">
        <color theme="1"/>
      </left>
      <right style="thin">
        <color theme="1"/>
      </right>
      <top style="thin">
        <color theme="1"/>
      </top>
      <bottom/>
    </border>
    <border>
      <left style="thin">
        <color theme="1"/>
      </left>
      <right style="thin">
        <color theme="1"/>
      </right>
      <top style="thin">
        <color theme="1"/>
      </top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medium">
        <color rgb="FF000000"/>
      </left>
      <right style="thin">
        <color theme="1"/>
      </right>
      <top style="medium">
        <color rgb="FF000000"/>
      </top>
      <bottom/>
    </border>
    <border>
      <left style="thin">
        <color theme="1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right style="thin">
        <color theme="1"/>
      </right>
      <top style="medium">
        <color rgb="FF000000"/>
      </top>
      <bottom/>
    </border>
    <border>
      <left style="thin">
        <color theme="1"/>
      </left>
      <right style="medium">
        <color rgb="FF000000"/>
      </right>
      <top style="medium">
        <color rgb="FF000000"/>
      </top>
      <bottom/>
    </border>
    <border>
      <left/>
      <right style="thin">
        <color theme="1"/>
      </right>
      <top style="thin">
        <color theme="1"/>
      </top>
      <bottom/>
    </border>
    <border>
      <left style="thick">
        <color theme="1"/>
      </left>
      <right style="thin">
        <color theme="1"/>
      </right>
      <top style="thick">
        <color theme="1"/>
      </top>
      <bottom style="thick">
        <color theme="1"/>
      </bottom>
    </border>
    <border>
      <left style="thin">
        <color theme="1"/>
      </left>
      <right style="thin">
        <color theme="1"/>
      </right>
      <top style="thick">
        <color theme="1"/>
      </top>
      <bottom style="thick">
        <color theme="1"/>
      </bottom>
    </border>
    <border>
      <left style="thin">
        <color theme="1"/>
      </left>
      <right style="medium">
        <color rgb="FF000000"/>
      </right>
      <top style="thick">
        <color theme="1"/>
      </top>
      <bottom style="thick">
        <color theme="1"/>
      </bottom>
    </border>
    <border>
      <left/>
      <right style="thin">
        <color theme="1"/>
      </right>
      <top style="thick">
        <color theme="1"/>
      </top>
      <bottom style="thick">
        <color theme="1"/>
      </bottom>
    </border>
    <border>
      <left style="medium">
        <color rgb="FF000000"/>
      </left>
      <right style="thin">
        <color theme="1"/>
      </right>
      <top/>
      <bottom style="medium">
        <color rgb="FF000000"/>
      </bottom>
    </border>
    <border>
      <left style="thin">
        <color theme="1"/>
      </left>
      <right style="thin">
        <color theme="1"/>
      </right>
      <top/>
      <bottom style="medium">
        <color rgb="FF000000"/>
      </bottom>
    </border>
    <border>
      <left style="thin">
        <color theme="1"/>
      </left>
      <right style="medium">
        <color rgb="FF000000"/>
      </right>
      <top/>
      <bottom style="medium">
        <color rgb="FF000000"/>
      </bottom>
    </border>
    <border>
      <left/>
      <right style="thin">
        <color theme="1"/>
      </right>
      <top/>
      <bottom style="thin">
        <color theme="1"/>
      </bottom>
    </border>
    <border>
      <left style="thin">
        <color theme="1"/>
      </left>
      <right style="thin">
        <color theme="1"/>
      </right>
      <top/>
      <bottom style="thin">
        <color theme="1"/>
      </bottom>
    </border>
    <border>
      <left style="thin">
        <color theme="1"/>
      </left>
      <right style="thin">
        <color theme="1"/>
      </right>
      <bottom style="thin">
        <color theme="1"/>
      </bottom>
    </border>
    <border>
      <left style="medium">
        <color rgb="FF000000"/>
      </left>
      <right style="thin">
        <color theme="1"/>
      </right>
      <top style="medium">
        <color rgb="FF000000"/>
      </top>
      <bottom style="medium">
        <color rgb="FF000000"/>
      </bottom>
    </border>
    <border>
      <left style="thin">
        <color theme="1"/>
      </left>
      <right style="thin">
        <color theme="1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theme="1"/>
      </right>
      <top style="medium">
        <color rgb="FF000000"/>
      </top>
      <bottom style="medium">
        <color rgb="FF000000"/>
      </bottom>
    </border>
    <border>
      <left style="thin">
        <color theme="1"/>
      </left>
      <right style="thin">
        <color theme="1"/>
      </right>
      <top style="medium">
        <color rgb="FF000000"/>
      </top>
      <bottom style="thin">
        <color theme="1"/>
      </bottom>
    </border>
    <border>
      <left style="thin">
        <color rgb="FF000000"/>
      </left>
      <right style="thin">
        <color rgb="FF000000"/>
      </right>
      <top/>
      <bottom style="thin">
        <color theme="1"/>
      </bottom>
    </border>
    <border>
      <left/>
      <right style="thin">
        <color theme="1"/>
      </right>
      <top/>
      <bottom style="medium">
        <color rgb="FF000000"/>
      </bottom>
    </border>
    <border>
      <left style="thin">
        <color theme="1"/>
      </left>
      <right style="thin">
        <color theme="1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/>
      <top style="thin">
        <color theme="1"/>
      </top>
      <bottom style="medium">
        <color rgb="FF000000"/>
      </bottom>
    </border>
    <border>
      <left style="thin">
        <color rgb="FF000000"/>
      </left>
      <right/>
      <top style="thin">
        <color theme="1"/>
      </top>
      <bottom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0000"/>
      </bottom>
    </border>
    <border>
      <left style="thin">
        <color theme="1"/>
      </left>
      <right style="thin">
        <color theme="1"/>
      </right>
      <top/>
      <bottom/>
    </border>
    <border>
      <left style="thin">
        <color theme="1"/>
      </left>
      <right style="thin">
        <color theme="1"/>
      </right>
    </border>
    <border>
      <right style="thin">
        <color theme="1"/>
      </right>
      <top style="thin">
        <color theme="1"/>
      </top>
      <bottom style="thin">
        <color theme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1"/>
      </bottom>
    </border>
    <border>
      <left style="thin">
        <color theme="1"/>
      </left>
      <right style="thin">
        <color theme="1"/>
      </right>
      <top style="medium">
        <color rgb="FF000000"/>
      </top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/>
      <right/>
      <top/>
      <bottom/>
    </border>
    <border>
      <left/>
      <right style="thin">
        <color rgb="FF000000"/>
      </right>
      <top/>
      <bottom style="medium">
        <color rgb="FF000000"/>
      </bottom>
    </border>
    <border>
      <left style="thin">
        <color theme="1"/>
      </left>
      <right/>
      <top style="thin">
        <color theme="1"/>
      </top>
      <bottom style="thin">
        <color theme="1"/>
      </bottom>
    </border>
    <border>
      <left style="thin">
        <color rgb="FF000000"/>
      </left>
      <right style="thin">
        <color rgb="FF000000"/>
      </right>
      <top style="thin">
        <color theme="1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ck">
        <color theme="1"/>
      </left>
      <right style="thin">
        <color rgb="FF000000"/>
      </right>
      <top/>
      <bottom style="thick">
        <color theme="1"/>
      </bottom>
    </border>
    <border>
      <left style="thin">
        <color theme="1"/>
      </left>
      <right style="thin">
        <color theme="1"/>
      </right>
      <top/>
      <bottom style="thick">
        <color theme="1"/>
      </bottom>
    </border>
    <border>
      <left/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 style="thin">
        <color theme="1"/>
      </left>
      <right/>
      <top/>
      <bottom style="thin">
        <color theme="1"/>
      </bottom>
    </border>
    <border>
      <left style="thin">
        <color theme="1"/>
      </left>
      <top style="thin">
        <color theme="1"/>
      </top>
      <bottom style="thin">
        <color theme="1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theme="1"/>
      </top>
      <bottom style="medium">
        <color rgb="FF000000"/>
      </bottom>
    </border>
    <border>
      <left style="thin">
        <color rgb="FF000000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right style="thin">
        <color theme="1"/>
      </right>
      <top style="medium">
        <color rgb="FF000000"/>
      </top>
      <bottom style="thin">
        <color rgb="FF000000"/>
      </bottom>
    </border>
    <border>
      <left style="thin">
        <color theme="1"/>
      </left>
      <right style="thin">
        <color rgb="FF000000"/>
      </right>
      <top style="medium">
        <color rgb="FF000000"/>
      </top>
      <bottom style="thin">
        <color theme="1"/>
      </bottom>
    </border>
    <border>
      <left style="thin">
        <color theme="1"/>
      </left>
      <right style="thin">
        <color rgb="FF000000"/>
      </right>
      <top style="thin">
        <color theme="1"/>
      </top>
      <bottom style="thin">
        <color theme="1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rgb="FF000000"/>
      </bottom>
    </border>
    <border>
      <top style="thin">
        <color theme="1"/>
      </top>
      <bottom style="thin">
        <color theme="1"/>
      </bottom>
    </border>
  </borders>
  <cellStyleXfs count="1">
    <xf borderId="0" fillId="0" fontId="0" numFmtId="0" applyAlignment="1" applyFont="1"/>
  </cellStyleXfs>
  <cellXfs count="33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Alignment="1" applyBorder="1" applyFont="1">
      <alignment vertical="center"/>
    </xf>
    <xf borderId="3" fillId="0" fontId="3" numFmtId="0" xfId="0" applyAlignment="1" applyBorder="1" applyFont="1">
      <alignment horizontal="center"/>
    </xf>
    <xf borderId="3" fillId="0" fontId="2" numFmtId="164" xfId="0" applyBorder="1" applyFont="1" applyNumberFormat="1"/>
    <xf borderId="3" fillId="0" fontId="2" numFmtId="0" xfId="0" applyBorder="1" applyFont="1"/>
    <xf borderId="4" fillId="2" fontId="1" numFmtId="0" xfId="0" applyBorder="1" applyFont="1"/>
    <xf borderId="5" fillId="3" fontId="4" numFmtId="0" xfId="0" applyAlignment="1" applyBorder="1" applyFill="1" applyFont="1">
      <alignment horizontal="center" shrinkToFit="0" vertical="center" wrapText="1"/>
    </xf>
    <xf borderId="6" fillId="0" fontId="5" numFmtId="0" xfId="0" applyBorder="1" applyFont="1"/>
    <xf borderId="7" fillId="0" fontId="5" numFmtId="0" xfId="0" applyBorder="1" applyFont="1"/>
    <xf borderId="8" fillId="4" fontId="3" numFmtId="0" xfId="0" applyAlignment="1" applyBorder="1" applyFill="1" applyFont="1">
      <alignment horizontal="center" shrinkToFit="0" vertical="center" wrapText="1"/>
    </xf>
    <xf borderId="3" fillId="4" fontId="2" numFmtId="164" xfId="0" applyBorder="1" applyFont="1" applyNumberFormat="1"/>
    <xf borderId="3" fillId="4" fontId="2" numFmtId="0" xfId="0" applyBorder="1" applyFont="1"/>
    <xf borderId="9" fillId="5" fontId="4" numFmtId="0" xfId="0" applyAlignment="1" applyBorder="1" applyFill="1" applyFont="1">
      <alignment horizontal="center" shrinkToFit="0" vertical="center" wrapText="1"/>
    </xf>
    <xf borderId="9" fillId="5" fontId="4" numFmtId="165" xfId="0" applyAlignment="1" applyBorder="1" applyFont="1" applyNumberFormat="1">
      <alignment horizontal="center" shrinkToFit="0" vertical="center" wrapText="1"/>
    </xf>
    <xf borderId="10" fillId="5" fontId="4" numFmtId="165" xfId="0" applyAlignment="1" applyBorder="1" applyFont="1" applyNumberFormat="1">
      <alignment horizontal="center" shrinkToFit="0" vertical="center" wrapText="1"/>
    </xf>
    <xf borderId="11" fillId="6" fontId="6" numFmtId="0" xfId="0" applyAlignment="1" applyBorder="1" applyFill="1" applyFont="1">
      <alignment horizontal="center" shrinkToFit="0" vertical="center" wrapText="1"/>
    </xf>
    <xf borderId="2" fillId="0" fontId="7" numFmtId="164" xfId="0" applyBorder="1" applyFont="1" applyNumberFormat="1"/>
    <xf borderId="2" fillId="0" fontId="7" numFmtId="0" xfId="0" applyBorder="1" applyFont="1"/>
    <xf borderId="12" fillId="2" fontId="8" numFmtId="0" xfId="0" applyAlignment="1" applyBorder="1" applyFont="1">
      <alignment horizontal="center" vertical="center"/>
    </xf>
    <xf borderId="13" fillId="7" fontId="9" numFmtId="0" xfId="0" applyAlignment="1" applyBorder="1" applyFill="1" applyFont="1">
      <alignment horizontal="center" shrinkToFit="0" vertical="center" wrapText="1"/>
    </xf>
    <xf borderId="13" fillId="7" fontId="10" numFmtId="0" xfId="0" applyAlignment="1" applyBorder="1" applyFont="1">
      <alignment horizontal="center" shrinkToFit="0" vertical="center" wrapText="1"/>
    </xf>
    <xf borderId="13" fillId="7" fontId="9" numFmtId="165" xfId="0" applyAlignment="1" applyBorder="1" applyFont="1" applyNumberFormat="1">
      <alignment horizontal="center" shrinkToFit="0" vertical="center" wrapText="1"/>
    </xf>
    <xf borderId="14" fillId="7" fontId="9" numFmtId="165" xfId="0" applyAlignment="1" applyBorder="1" applyFont="1" applyNumberFormat="1">
      <alignment horizontal="center" shrinkToFit="0" vertical="center" wrapText="1"/>
    </xf>
    <xf borderId="15" fillId="7" fontId="9" numFmtId="0" xfId="0" applyAlignment="1" applyBorder="1" applyFont="1">
      <alignment horizontal="center" shrinkToFit="0" vertical="center" wrapText="1"/>
    </xf>
    <xf borderId="13" fillId="7" fontId="11" numFmtId="164" xfId="0" applyBorder="1" applyFont="1" applyNumberFormat="1"/>
    <xf borderId="13" fillId="0" fontId="12" numFmtId="0" xfId="0" applyBorder="1" applyFont="1"/>
    <xf borderId="3" fillId="0" fontId="13" numFmtId="0" xfId="0" applyAlignment="1" applyBorder="1" applyFont="1">
      <alignment horizontal="center" vertical="center"/>
    </xf>
    <xf borderId="16" fillId="2" fontId="8" numFmtId="0" xfId="0" applyAlignment="1" applyBorder="1" applyFont="1">
      <alignment horizontal="center" vertical="center"/>
    </xf>
    <xf borderId="17" fillId="8" fontId="14" numFmtId="0" xfId="0" applyAlignment="1" applyBorder="1" applyFill="1" applyFont="1">
      <alignment horizontal="center" shrinkToFit="0" vertical="center" wrapText="1"/>
    </xf>
    <xf borderId="17" fillId="8" fontId="14" numFmtId="0" xfId="0" applyAlignment="1" applyBorder="1" applyFont="1">
      <alignment horizontal="left" shrinkToFit="0" vertical="center" wrapText="1"/>
    </xf>
    <xf borderId="17" fillId="8" fontId="14" numFmtId="165" xfId="0" applyAlignment="1" applyBorder="1" applyFont="1" applyNumberFormat="1">
      <alignment horizontal="left" shrinkToFit="0" vertical="center" wrapText="1"/>
    </xf>
    <xf borderId="17" fillId="8" fontId="14" numFmtId="165" xfId="0" applyAlignment="1" applyBorder="1" applyFont="1" applyNumberFormat="1">
      <alignment horizontal="center" shrinkToFit="0" vertical="center" wrapText="1"/>
    </xf>
    <xf borderId="18" fillId="8" fontId="14" numFmtId="165" xfId="0" applyAlignment="1" applyBorder="1" applyFont="1" applyNumberFormat="1">
      <alignment horizontal="center" shrinkToFit="0" vertical="center" wrapText="1"/>
    </xf>
    <xf borderId="19" fillId="9" fontId="3" numFmtId="0" xfId="0" applyAlignment="1" applyBorder="1" applyFill="1" applyFont="1">
      <alignment horizontal="center" shrinkToFit="0" vertical="center" wrapText="1"/>
    </xf>
    <xf borderId="20" fillId="10" fontId="2" numFmtId="164" xfId="0" applyBorder="1" applyFill="1" applyFont="1" applyNumberFormat="1"/>
    <xf borderId="20" fillId="2" fontId="1" numFmtId="0" xfId="0" applyBorder="1" applyFont="1"/>
    <xf borderId="21" fillId="0" fontId="15" numFmtId="166" xfId="0" applyAlignment="1" applyBorder="1" applyFont="1" applyNumberFormat="1">
      <alignment horizontal="center" shrinkToFit="0" vertical="center" wrapText="1"/>
    </xf>
    <xf borderId="21" fillId="0" fontId="15" numFmtId="0" xfId="0" applyAlignment="1" applyBorder="1" applyFont="1">
      <alignment shrinkToFit="0" vertical="center" wrapText="1"/>
    </xf>
    <xf borderId="21" fillId="0" fontId="15" numFmtId="0" xfId="0" applyAlignment="1" applyBorder="1" applyFont="1">
      <alignment horizontal="center" shrinkToFit="0" vertical="center" wrapText="1"/>
    </xf>
    <xf borderId="21" fillId="0" fontId="15" numFmtId="165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2" fontId="1" numFmtId="0" xfId="0" applyBorder="1" applyFont="1"/>
    <xf borderId="3" fillId="0" fontId="15" numFmtId="166" xfId="0" applyAlignment="1" applyBorder="1" applyFont="1" applyNumberFormat="1">
      <alignment horizontal="center" shrinkToFit="0" vertical="center" wrapText="1"/>
    </xf>
    <xf borderId="3" fillId="0" fontId="15" numFmtId="0" xfId="0" applyAlignment="1" applyBorder="1" applyFont="1">
      <alignment shrinkToFit="0" vertical="center" wrapText="1"/>
    </xf>
    <xf borderId="3" fillId="0" fontId="15" numFmtId="0" xfId="0" applyAlignment="1" applyBorder="1" applyFont="1">
      <alignment horizontal="center" shrinkToFit="0" vertical="center" wrapText="1"/>
    </xf>
    <xf borderId="3" fillId="0" fontId="15" numFmtId="165" xfId="0" applyAlignment="1" applyBorder="1" applyFont="1" applyNumberFormat="1">
      <alignment horizontal="center" shrinkToFit="0" vertical="center" wrapText="1"/>
    </xf>
    <xf borderId="3" fillId="6" fontId="2" numFmtId="164" xfId="0" applyBorder="1" applyFont="1" applyNumberFormat="1"/>
    <xf borderId="3" fillId="6" fontId="2" numFmtId="0" xfId="0" applyBorder="1" applyFont="1"/>
    <xf borderId="3" fillId="9" fontId="3" numFmtId="0" xfId="0" applyAlignment="1" applyBorder="1" applyFont="1">
      <alignment horizontal="center" shrinkToFit="0" vertical="center" wrapText="1"/>
    </xf>
    <xf borderId="2" fillId="0" fontId="15" numFmtId="166" xfId="0" applyAlignment="1" applyBorder="1" applyFont="1" applyNumberFormat="1">
      <alignment horizontal="center" shrinkToFit="0" vertical="center" wrapText="1"/>
    </xf>
    <xf borderId="1" fillId="4" fontId="15" numFmtId="0" xfId="0" applyAlignment="1" applyBorder="1" applyFont="1">
      <alignment shrinkToFit="0" vertical="center" wrapText="1"/>
    </xf>
    <xf borderId="2" fillId="0" fontId="15" numFmtId="0" xfId="0" applyAlignment="1" applyBorder="1" applyFont="1">
      <alignment horizontal="center" shrinkToFit="0" vertical="center" wrapText="1"/>
    </xf>
    <xf borderId="2" fillId="0" fontId="15" numFmtId="165" xfId="0" applyAlignment="1" applyBorder="1" applyFont="1" applyNumberFormat="1">
      <alignment horizontal="center" shrinkToFit="0" vertical="center" wrapText="1"/>
    </xf>
    <xf borderId="1" fillId="4" fontId="2" numFmtId="165" xfId="0" applyAlignment="1" applyBorder="1" applyFont="1" applyNumberFormat="1">
      <alignment horizontal="center" shrinkToFit="0" vertical="center" wrapText="1"/>
    </xf>
    <xf borderId="1" fillId="9" fontId="3" numFmtId="0" xfId="0" applyAlignment="1" applyBorder="1" applyFont="1">
      <alignment horizontal="center" shrinkToFit="0" vertical="center" wrapText="1"/>
    </xf>
    <xf borderId="1" fillId="4" fontId="2" numFmtId="164" xfId="0" applyBorder="1" applyFont="1" applyNumberFormat="1"/>
    <xf borderId="2" fillId="0" fontId="2" numFmtId="0" xfId="0" applyBorder="1" applyFont="1"/>
    <xf borderId="22" fillId="2" fontId="1" numFmtId="0" xfId="0" applyBorder="1" applyFont="1"/>
    <xf borderId="23" fillId="8" fontId="14" numFmtId="0" xfId="0" applyAlignment="1" applyBorder="1" applyFont="1">
      <alignment horizontal="center" shrinkToFit="0" vertical="center" wrapText="1"/>
    </xf>
    <xf borderId="23" fillId="8" fontId="14" numFmtId="0" xfId="0" applyAlignment="1" applyBorder="1" applyFont="1">
      <alignment horizontal="left" shrinkToFit="0" vertical="center" wrapText="1"/>
    </xf>
    <xf borderId="23" fillId="8" fontId="14" numFmtId="165" xfId="0" applyAlignment="1" applyBorder="1" applyFont="1" applyNumberFormat="1">
      <alignment horizontal="left" shrinkToFit="0" vertical="center" wrapText="1"/>
    </xf>
    <xf borderId="23" fillId="8" fontId="14" numFmtId="165" xfId="0" applyAlignment="1" applyBorder="1" applyFont="1" applyNumberFormat="1">
      <alignment horizontal="center" shrinkToFit="0" vertical="center" wrapText="1"/>
    </xf>
    <xf borderId="23" fillId="9" fontId="3" numFmtId="0" xfId="0" applyAlignment="1" applyBorder="1" applyFont="1">
      <alignment horizontal="center" shrinkToFit="0" vertical="center" wrapText="1"/>
    </xf>
    <xf borderId="23" fillId="0" fontId="2" numFmtId="164" xfId="0" applyBorder="1" applyFont="1" applyNumberFormat="1"/>
    <xf borderId="23" fillId="10" fontId="2" numFmtId="164" xfId="0" applyBorder="1" applyFont="1" applyNumberFormat="1"/>
    <xf borderId="21" fillId="0" fontId="2" numFmtId="0" xfId="0" applyBorder="1" applyFont="1"/>
    <xf borderId="23" fillId="0" fontId="2" numFmtId="0" xfId="0" applyBorder="1" applyFont="1"/>
    <xf borderId="21" fillId="0" fontId="3" numFmtId="0" xfId="0" applyAlignment="1" applyBorder="1" applyFont="1">
      <alignment horizontal="center" shrinkToFit="0" vertical="center" wrapText="1"/>
    </xf>
    <xf borderId="21" fillId="0" fontId="2" numFmtId="164" xfId="0" applyBorder="1" applyFont="1" applyNumberFormat="1"/>
    <xf borderId="3" fillId="6" fontId="15" numFmtId="0" xfId="0" applyAlignment="1" applyBorder="1" applyFont="1">
      <alignment shrinkToFit="0" vertical="center" wrapText="1"/>
    </xf>
    <xf borderId="1" fillId="2" fontId="8" numFmtId="0" xfId="0" applyAlignment="1" applyBorder="1" applyFont="1">
      <alignment horizontal="center" vertical="center"/>
    </xf>
    <xf borderId="1" fillId="6" fontId="15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0" fontId="2" numFmtId="164" xfId="0" applyBorder="1" applyFont="1" applyNumberFormat="1"/>
    <xf borderId="24" fillId="2" fontId="8" numFmtId="0" xfId="0" applyAlignment="1" applyBorder="1" applyFont="1">
      <alignment horizontal="center" vertical="center"/>
    </xf>
    <xf borderId="25" fillId="8" fontId="14" numFmtId="0" xfId="0" applyAlignment="1" applyBorder="1" applyFont="1">
      <alignment horizontal="center" shrinkToFit="0" vertical="center" wrapText="1"/>
    </xf>
    <xf borderId="24" fillId="2" fontId="1" numFmtId="0" xfId="0" applyBorder="1" applyFont="1"/>
    <xf borderId="19" fillId="5" fontId="14" numFmtId="0" xfId="0" applyAlignment="1" applyBorder="1" applyFont="1">
      <alignment horizontal="center" shrinkToFit="0" vertical="center" wrapText="1"/>
    </xf>
    <xf borderId="20" fillId="5" fontId="14" numFmtId="0" xfId="0" applyAlignment="1" applyBorder="1" applyFont="1">
      <alignment horizontal="left" shrinkToFit="0" vertical="center" wrapText="1"/>
    </xf>
    <xf borderId="20" fillId="5" fontId="14" numFmtId="165" xfId="0" applyAlignment="1" applyBorder="1" applyFont="1" applyNumberFormat="1">
      <alignment horizontal="center" shrinkToFit="0" vertical="center" wrapText="1"/>
    </xf>
    <xf borderId="3" fillId="6" fontId="15" numFmtId="165" xfId="0" applyAlignment="1" applyBorder="1" applyFont="1" applyNumberFormat="1">
      <alignment horizontal="center" shrinkToFit="0" vertical="center" wrapText="1"/>
    </xf>
    <xf borderId="3" fillId="6" fontId="15" numFmtId="0" xfId="0" applyAlignment="1" applyBorder="1" applyFont="1">
      <alignment horizontal="center" shrinkToFit="0" vertical="center" wrapText="1"/>
    </xf>
    <xf borderId="3" fillId="4" fontId="6" numFmtId="0" xfId="0" applyBorder="1" applyFont="1"/>
    <xf borderId="3" fillId="5" fontId="14" numFmtId="0" xfId="0" applyAlignment="1" applyBorder="1" applyFont="1">
      <alignment horizontal="center" shrinkToFit="0" vertical="center" wrapText="1"/>
    </xf>
    <xf borderId="3" fillId="5" fontId="14" numFmtId="0" xfId="0" applyAlignment="1" applyBorder="1" applyFont="1">
      <alignment shrinkToFit="0" vertical="center" wrapText="1"/>
    </xf>
    <xf borderId="3" fillId="5" fontId="15" numFmtId="0" xfId="0" applyAlignment="1" applyBorder="1" applyFont="1">
      <alignment horizontal="center" shrinkToFit="0" vertical="center" wrapText="1"/>
    </xf>
    <xf borderId="3" fillId="5" fontId="14" numFmtId="165" xfId="0" applyAlignment="1" applyBorder="1" applyFont="1" applyNumberFormat="1">
      <alignment horizontal="center" shrinkToFit="0" vertical="center" wrapText="1"/>
    </xf>
    <xf borderId="3" fillId="5" fontId="15" numFmtId="165" xfId="0" applyAlignment="1" applyBorder="1" applyFont="1" applyNumberFormat="1">
      <alignment horizontal="center" shrinkToFit="0" vertical="center" wrapText="1"/>
    </xf>
    <xf borderId="2" fillId="0" fontId="15" numFmtId="0" xfId="0" applyAlignment="1" applyBorder="1" applyFont="1">
      <alignment shrinkToFit="0" vertical="center" wrapText="1"/>
    </xf>
    <xf borderId="3" fillId="4" fontId="15" numFmtId="0" xfId="0" applyAlignment="1" applyBorder="1" applyFont="1">
      <alignment shrinkToFit="0" vertical="center" wrapText="1"/>
    </xf>
    <xf borderId="20" fillId="4" fontId="15" numFmtId="165" xfId="0" applyAlignment="1" applyBorder="1" applyFont="1" applyNumberFormat="1">
      <alignment horizontal="center" shrinkToFit="0" vertical="center" wrapText="1"/>
    </xf>
    <xf borderId="20" fillId="4" fontId="2" numFmtId="164" xfId="0" applyBorder="1" applyFont="1" applyNumberFormat="1"/>
    <xf borderId="3" fillId="0" fontId="2" numFmtId="0" xfId="0" applyAlignment="1" applyBorder="1" applyFont="1">
      <alignment horizontal="center" shrinkToFit="0" vertical="center" wrapText="1"/>
    </xf>
    <xf borderId="3" fillId="0" fontId="2" numFmtId="165" xfId="0" applyAlignment="1" applyBorder="1" applyFont="1" applyNumberFormat="1">
      <alignment horizontal="center" shrinkToFit="0" vertical="center" wrapText="1"/>
    </xf>
    <xf borderId="3" fillId="0" fontId="2" numFmtId="165" xfId="0" applyBorder="1" applyFont="1" applyNumberFormat="1"/>
    <xf borderId="26" fillId="0" fontId="13" numFmtId="0" xfId="0" applyBorder="1" applyFont="1"/>
    <xf borderId="8" fillId="10" fontId="1" numFmtId="0" xfId="0" applyAlignment="1" applyBorder="1" applyFont="1">
      <alignment horizontal="center" vertical="center"/>
    </xf>
    <xf borderId="3" fillId="10" fontId="15" numFmtId="0" xfId="0" applyAlignment="1" applyBorder="1" applyFont="1">
      <alignment horizontal="center" shrinkToFit="0" vertical="center" wrapText="1"/>
    </xf>
    <xf borderId="3" fillId="10" fontId="1" numFmtId="0" xfId="0" applyAlignment="1" applyBorder="1" applyFont="1">
      <alignment horizontal="center" shrinkToFit="0" vertical="center" wrapText="1"/>
    </xf>
    <xf borderId="3" fillId="10" fontId="15" numFmtId="165" xfId="0" applyAlignment="1" applyBorder="1" applyFont="1" applyNumberFormat="1">
      <alignment horizontal="center" shrinkToFit="0" vertical="center" wrapText="1"/>
    </xf>
    <xf borderId="3" fillId="10" fontId="16" numFmtId="165" xfId="0" applyAlignment="1" applyBorder="1" applyFont="1" applyNumberFormat="1">
      <alignment horizontal="center" shrinkToFit="0" vertical="center" wrapText="1"/>
    </xf>
    <xf borderId="1" fillId="11" fontId="2" numFmtId="0" xfId="0" applyBorder="1" applyFill="1" applyFont="1"/>
    <xf borderId="1" fillId="12" fontId="2" numFmtId="165" xfId="0" applyBorder="1" applyFill="1" applyFont="1" applyNumberFormat="1"/>
    <xf borderId="27" fillId="2" fontId="8" numFmtId="0" xfId="0" applyAlignment="1" applyBorder="1" applyFont="1">
      <alignment horizontal="center" vertical="center"/>
    </xf>
    <xf borderId="28" fillId="8" fontId="14" numFmtId="0" xfId="0" applyAlignment="1" applyBorder="1" applyFont="1">
      <alignment horizontal="center" shrinkToFit="0" vertical="center" wrapText="1"/>
    </xf>
    <xf borderId="17" fillId="9" fontId="3" numFmtId="0" xfId="0" applyAlignment="1" applyBorder="1" applyFont="1">
      <alignment horizontal="center" shrinkToFit="0" vertical="center" wrapText="1"/>
    </xf>
    <xf borderId="29" fillId="0" fontId="2" numFmtId="164" xfId="0" applyBorder="1" applyFont="1" applyNumberFormat="1"/>
    <xf borderId="17" fillId="10" fontId="2" numFmtId="164" xfId="0" applyBorder="1" applyFont="1" applyNumberFormat="1"/>
    <xf borderId="30" fillId="2" fontId="8" numFmtId="0" xfId="0" applyAlignment="1" applyBorder="1" applyFont="1">
      <alignment horizontal="center" vertical="center"/>
    </xf>
    <xf borderId="31" fillId="2" fontId="1" numFmtId="0" xfId="0" applyBorder="1" applyFont="1"/>
    <xf borderId="32" fillId="8" fontId="14" numFmtId="0" xfId="0" applyAlignment="1" applyBorder="1" applyFont="1">
      <alignment horizontal="center" shrinkToFit="0" vertical="center" wrapText="1"/>
    </xf>
    <xf borderId="33" fillId="8" fontId="14" numFmtId="0" xfId="0" applyAlignment="1" applyBorder="1" applyFont="1">
      <alignment horizontal="left" shrinkToFit="0" vertical="center" wrapText="1"/>
    </xf>
    <xf borderId="33" fillId="8" fontId="14" numFmtId="165" xfId="0" applyAlignment="1" applyBorder="1" applyFont="1" applyNumberFormat="1">
      <alignment horizontal="left" shrinkToFit="0" vertical="center" wrapText="1"/>
    </xf>
    <xf borderId="33" fillId="8" fontId="14" numFmtId="165" xfId="0" applyAlignment="1" applyBorder="1" applyFont="1" applyNumberFormat="1">
      <alignment horizontal="center" shrinkToFit="0" vertical="center" wrapText="1"/>
    </xf>
    <xf borderId="33" fillId="9" fontId="3" numFmtId="0" xfId="0" applyAlignment="1" applyBorder="1" applyFont="1">
      <alignment horizontal="center" shrinkToFit="0" vertical="center" wrapText="1"/>
    </xf>
    <xf borderId="33" fillId="0" fontId="2" numFmtId="164" xfId="0" applyBorder="1" applyFont="1" applyNumberFormat="1"/>
    <xf borderId="33" fillId="10" fontId="2" numFmtId="164" xfId="0" applyBorder="1" applyFont="1" applyNumberFormat="1"/>
    <xf borderId="33" fillId="0" fontId="13" numFmtId="0" xfId="0" applyBorder="1" applyFont="1"/>
    <xf borderId="26" fillId="2" fontId="1" numFmtId="0" xfId="0" applyBorder="1" applyFont="1"/>
    <xf borderId="34" fillId="4" fontId="15" numFmtId="0" xfId="0" applyAlignment="1" applyBorder="1" applyFont="1">
      <alignment horizontal="left" shrinkToFit="0" vertical="center" wrapText="1"/>
    </xf>
    <xf borderId="34" fillId="4" fontId="15" numFmtId="165" xfId="0" applyAlignment="1" applyBorder="1" applyFont="1" applyNumberFormat="1">
      <alignment horizontal="center" shrinkToFit="0" vertical="center" wrapText="1"/>
    </xf>
    <xf borderId="34" fillId="4" fontId="15" numFmtId="0" xfId="0" applyAlignment="1" applyBorder="1" applyFont="1">
      <alignment horizontal="center" shrinkToFit="0" vertical="center" wrapText="1"/>
    </xf>
    <xf borderId="35" fillId="0" fontId="15" numFmtId="165" xfId="0" applyAlignment="1" applyBorder="1" applyFont="1" applyNumberFormat="1">
      <alignment horizontal="center" shrinkToFit="0" vertical="center" wrapText="1"/>
    </xf>
    <xf borderId="34" fillId="4" fontId="3" numFmtId="0" xfId="0" applyAlignment="1" applyBorder="1" applyFont="1">
      <alignment horizontal="center" shrinkToFit="0" vertical="center" wrapText="1"/>
    </xf>
    <xf borderId="35" fillId="0" fontId="2" numFmtId="164" xfId="0" applyBorder="1" applyFont="1" applyNumberFormat="1"/>
    <xf borderId="35" fillId="0" fontId="2" numFmtId="0" xfId="0" applyBorder="1" applyFont="1"/>
    <xf borderId="33" fillId="0" fontId="2" numFmtId="165" xfId="0" applyAlignment="1" applyBorder="1" applyFont="1" applyNumberFormat="1">
      <alignment horizontal="right"/>
    </xf>
    <xf borderId="16" fillId="2" fontId="1" numFmtId="0" xfId="0" applyBorder="1" applyFont="1"/>
    <xf borderId="1" fillId="4" fontId="2" numFmtId="0" xfId="0" applyBorder="1" applyFont="1"/>
    <xf borderId="23" fillId="4" fontId="2" numFmtId="164" xfId="0" applyBorder="1" applyFont="1" applyNumberFormat="1"/>
    <xf borderId="24" fillId="0" fontId="15" numFmtId="0" xfId="0" applyAlignment="1" applyBorder="1" applyFont="1">
      <alignment shrinkToFit="0" vertical="center" wrapText="1"/>
    </xf>
    <xf borderId="36" fillId="0" fontId="15" numFmtId="0" xfId="0" applyAlignment="1" applyBorder="1" applyFont="1">
      <alignment horizontal="center" shrinkToFit="0" vertical="center" wrapText="1"/>
    </xf>
    <xf borderId="37" fillId="2" fontId="8" numFmtId="0" xfId="0" applyAlignment="1" applyBorder="1" applyFont="1">
      <alignment horizontal="center" vertical="center"/>
    </xf>
    <xf borderId="35" fillId="0" fontId="3" numFmtId="0" xfId="0" applyAlignment="1" applyBorder="1" applyFont="1">
      <alignment horizontal="center" shrinkToFit="0" vertical="center" wrapText="1"/>
    </xf>
    <xf borderId="34" fillId="4" fontId="2" numFmtId="164" xfId="0" applyBorder="1" applyFont="1" applyNumberFormat="1"/>
    <xf borderId="2" fillId="0" fontId="2" numFmtId="165" xfId="0" applyBorder="1" applyFont="1" applyNumberFormat="1"/>
    <xf borderId="1" fillId="4" fontId="2" numFmtId="165" xfId="0" applyBorder="1" applyFont="1" applyNumberFormat="1"/>
    <xf borderId="38" fillId="0" fontId="2" numFmtId="0" xfId="0" applyBorder="1" applyFont="1"/>
    <xf borderId="20" fillId="4" fontId="2" numFmtId="0" xfId="0" applyBorder="1" applyFont="1"/>
    <xf borderId="1" fillId="4" fontId="14" numFmtId="0" xfId="0" applyAlignment="1" applyBorder="1" applyFont="1">
      <alignment horizontal="center" shrinkToFit="0" vertical="center" wrapText="1"/>
    </xf>
    <xf borderId="1" fillId="4" fontId="14" numFmtId="0" xfId="0" applyAlignment="1" applyBorder="1" applyFont="1">
      <alignment horizontal="left" shrinkToFit="0" vertical="center" wrapText="1"/>
    </xf>
    <xf borderId="1" fillId="4" fontId="14" numFmtId="165" xfId="0" applyAlignment="1" applyBorder="1" applyFont="1" applyNumberFormat="1">
      <alignment horizontal="left" shrinkToFit="0" vertical="center" wrapText="1"/>
    </xf>
    <xf borderId="1" fillId="4" fontId="14" numFmtId="165" xfId="0" applyAlignment="1" applyBorder="1" applyFont="1" applyNumberFormat="1">
      <alignment horizontal="center" shrinkToFit="0" vertical="center" wrapText="1"/>
    </xf>
    <xf borderId="1" fillId="4" fontId="13" numFmtId="0" xfId="0" applyAlignment="1" applyBorder="1" applyFont="1">
      <alignment horizontal="center" shrinkToFit="0" vertical="center" wrapText="1"/>
    </xf>
    <xf borderId="34" fillId="4" fontId="14" numFmtId="0" xfId="0" applyAlignment="1" applyBorder="1" applyFont="1">
      <alignment horizontal="center" shrinkToFit="0" vertical="center" wrapText="1"/>
    </xf>
    <xf borderId="34" fillId="4" fontId="14" numFmtId="0" xfId="0" applyAlignment="1" applyBorder="1" applyFont="1">
      <alignment horizontal="left" shrinkToFit="0" vertical="center" wrapText="1"/>
    </xf>
    <xf borderId="34" fillId="4" fontId="14" numFmtId="165" xfId="0" applyAlignment="1" applyBorder="1" applyFont="1" applyNumberFormat="1">
      <alignment horizontal="left" shrinkToFit="0" vertical="center" wrapText="1"/>
    </xf>
    <xf borderId="34" fillId="4" fontId="14" numFmtId="165" xfId="0" applyAlignment="1" applyBorder="1" applyFont="1" applyNumberFormat="1">
      <alignment horizontal="center" shrinkToFit="0" vertical="center" wrapText="1"/>
    </xf>
    <xf borderId="34" fillId="4" fontId="13" numFmtId="0" xfId="0" applyAlignment="1" applyBorder="1" applyFont="1">
      <alignment horizontal="center" shrinkToFit="0" vertical="center" wrapText="1"/>
    </xf>
    <xf borderId="39" fillId="8" fontId="14" numFmtId="0" xfId="0" applyAlignment="1" applyBorder="1" applyFont="1">
      <alignment horizontal="center" shrinkToFit="0" vertical="center" wrapText="1"/>
    </xf>
    <xf borderId="17" fillId="4" fontId="2" numFmtId="164" xfId="0" applyBorder="1" applyFont="1" applyNumberFormat="1"/>
    <xf borderId="17" fillId="10" fontId="2" numFmtId="2" xfId="0" applyBorder="1" applyFont="1" applyNumberFormat="1"/>
    <xf borderId="29" fillId="0" fontId="2" numFmtId="0" xfId="0" applyBorder="1" applyFont="1"/>
    <xf borderId="23" fillId="4" fontId="15" numFmtId="0" xfId="0" applyAlignment="1" applyBorder="1" applyFont="1">
      <alignment horizontal="center" shrinkToFit="0" vertical="center" wrapText="1"/>
    </xf>
    <xf borderId="23" fillId="4" fontId="15" numFmtId="0" xfId="0" applyAlignment="1" applyBorder="1" applyFont="1">
      <alignment shrinkToFit="0" vertical="center" wrapText="1"/>
    </xf>
    <xf borderId="23" fillId="4" fontId="15" numFmtId="165" xfId="0" applyAlignment="1" applyBorder="1" applyFont="1" applyNumberFormat="1">
      <alignment horizontal="center" shrinkToFit="0" vertical="center" wrapText="1"/>
    </xf>
    <xf borderId="23" fillId="4" fontId="2" numFmtId="0" xfId="0" applyAlignment="1" applyBorder="1" applyFont="1">
      <alignment horizontal="center" shrinkToFit="0" vertical="center" wrapText="1"/>
    </xf>
    <xf borderId="21" fillId="0" fontId="15" numFmtId="164" xfId="0" applyAlignment="1" applyBorder="1" applyFont="1" applyNumberFormat="1">
      <alignment horizontal="center" shrinkToFit="0" vertical="center" wrapText="1"/>
    </xf>
    <xf borderId="20" fillId="4" fontId="2" numFmtId="0" xfId="0" applyAlignment="1" applyBorder="1" applyFont="1">
      <alignment horizontal="center" shrinkToFit="0" vertical="center" wrapText="1"/>
    </xf>
    <xf borderId="20" fillId="4" fontId="15" numFmtId="0" xfId="0" applyAlignment="1" applyBorder="1" applyFont="1">
      <alignment shrinkToFit="0" vertical="center" wrapText="1"/>
    </xf>
    <xf borderId="20" fillId="4" fontId="15" numFmtId="0" xfId="0" applyAlignment="1" applyBorder="1" applyFont="1">
      <alignment horizontal="center" shrinkToFit="0" vertical="center" wrapText="1"/>
    </xf>
    <xf borderId="20" fillId="4" fontId="2" numFmtId="165" xfId="0" applyAlignment="1" applyBorder="1" applyFont="1" applyNumberFormat="1">
      <alignment shrinkToFit="0" vertical="center" wrapText="1"/>
    </xf>
    <xf borderId="3" fillId="4" fontId="15" numFmtId="0" xfId="0" applyAlignment="1" applyBorder="1" applyFont="1">
      <alignment horizontal="center" shrinkToFit="0" vertical="center" wrapText="1"/>
    </xf>
    <xf borderId="3" fillId="4" fontId="15" numFmtId="165" xfId="0" applyAlignment="1" applyBorder="1" applyFont="1" applyNumberFormat="1">
      <alignment horizontal="center" shrinkToFit="0" vertical="center" wrapText="1"/>
    </xf>
    <xf borderId="3" fillId="4" fontId="2" numFmtId="0" xfId="0" applyAlignment="1" applyBorder="1" applyFont="1">
      <alignment horizontal="center" shrinkToFit="0" vertical="center" wrapText="1"/>
    </xf>
    <xf borderId="3" fillId="0" fontId="2" numFmtId="165" xfId="0" applyAlignment="1" applyBorder="1" applyFont="1" applyNumberFormat="1">
      <alignment shrinkToFit="0" vertical="center" wrapText="1"/>
    </xf>
    <xf borderId="3" fillId="4" fontId="2" numFmtId="165" xfId="0" applyAlignment="1" applyBorder="1" applyFont="1" applyNumberFormat="1">
      <alignment horizontal="center" shrinkToFit="0" vertical="center" wrapText="1"/>
    </xf>
    <xf borderId="1" fillId="4" fontId="15" numFmtId="0" xfId="0" applyAlignment="1" applyBorder="1" applyFont="1">
      <alignment horizontal="center" shrinkToFit="0" vertical="center" wrapText="1"/>
    </xf>
    <xf borderId="1" fillId="4" fontId="15" numFmtId="165" xfId="0" applyAlignment="1" applyBorder="1" applyFont="1" applyNumberFormat="1">
      <alignment horizontal="center" shrinkToFit="0" vertical="center" wrapText="1"/>
    </xf>
    <xf borderId="1" fillId="4" fontId="2" numFmtId="0" xfId="0" applyAlignment="1" applyBorder="1" applyFont="1">
      <alignment horizontal="center" shrinkToFit="0" vertical="center" wrapText="1"/>
    </xf>
    <xf borderId="40" fillId="4" fontId="15" numFmtId="0" xfId="0" applyAlignment="1" applyBorder="1" applyFont="1">
      <alignment horizontal="center" shrinkToFit="0" vertical="center" wrapText="1"/>
    </xf>
    <xf borderId="40" fillId="4" fontId="15" numFmtId="0" xfId="0" applyAlignment="1" applyBorder="1" applyFont="1">
      <alignment shrinkToFit="0" vertical="center" wrapText="1"/>
    </xf>
    <xf borderId="40" fillId="4" fontId="15" numFmtId="165" xfId="0" applyAlignment="1" applyBorder="1" applyFont="1" applyNumberFormat="1">
      <alignment horizontal="center" shrinkToFit="0" vertical="center" wrapText="1"/>
    </xf>
    <xf borderId="40" fillId="4" fontId="2" numFmtId="0" xfId="0" applyAlignment="1" applyBorder="1" applyFont="1">
      <alignment horizontal="center" shrinkToFit="0" vertical="center" wrapText="1"/>
    </xf>
    <xf borderId="40" fillId="4" fontId="2" numFmtId="164" xfId="0" applyBorder="1" applyFont="1" applyNumberFormat="1"/>
    <xf borderId="41" fillId="8" fontId="14" numFmtId="0" xfId="0" applyAlignment="1" applyBorder="1" applyFont="1">
      <alignment horizontal="center" shrinkToFit="0" vertical="center" wrapText="1"/>
    </xf>
    <xf borderId="17" fillId="4" fontId="2" numFmtId="165" xfId="0" applyBorder="1" applyFont="1" applyNumberFormat="1"/>
    <xf borderId="26" fillId="0" fontId="2" numFmtId="165" xfId="0" applyBorder="1" applyFont="1" applyNumberFormat="1"/>
    <xf borderId="20" fillId="4" fontId="3" numFmtId="0" xfId="0" applyAlignment="1" applyBorder="1" applyFont="1">
      <alignment horizontal="center" shrinkToFit="0" vertical="center" wrapText="1"/>
    </xf>
    <xf borderId="3" fillId="4" fontId="3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vertical="center"/>
    </xf>
    <xf borderId="3" fillId="0" fontId="13" numFmtId="0" xfId="0" applyBorder="1" applyFont="1"/>
    <xf borderId="1" fillId="4" fontId="3" numFmtId="0" xfId="0" applyAlignment="1" applyBorder="1" applyFont="1">
      <alignment horizontal="center" shrinkToFit="0" vertical="center" wrapText="1"/>
    </xf>
    <xf borderId="3" fillId="12" fontId="2" numFmtId="165" xfId="0" applyBorder="1" applyFont="1" applyNumberFormat="1"/>
    <xf borderId="21" fillId="0" fontId="2" numFmtId="0" xfId="0" applyAlignment="1" applyBorder="1" applyFont="1">
      <alignment horizontal="center" shrinkToFit="0" vertical="center" wrapText="1"/>
    </xf>
    <xf borderId="21" fillId="0" fontId="2" numFmtId="165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0" fontId="2" numFmtId="165" xfId="0" applyAlignment="1" applyBorder="1" applyFont="1" applyNumberFormat="1">
      <alignment horizontal="center" shrinkToFit="0" vertical="center" wrapText="1"/>
    </xf>
    <xf borderId="42" fillId="2" fontId="1" numFmtId="0" xfId="0" applyBorder="1" applyFont="1"/>
    <xf borderId="43" fillId="8" fontId="14" numFmtId="0" xfId="0" applyAlignment="1" applyBorder="1" applyFont="1">
      <alignment horizontal="center" shrinkToFit="0" vertical="center" wrapText="1"/>
    </xf>
    <xf borderId="8" fillId="8" fontId="14" numFmtId="0" xfId="0" applyAlignment="1" applyBorder="1" applyFont="1">
      <alignment shrinkToFit="0" vertical="center" wrapText="1"/>
    </xf>
    <xf borderId="3" fillId="8" fontId="14" numFmtId="0" xfId="0" applyAlignment="1" applyBorder="1" applyFont="1">
      <alignment shrinkToFit="0" vertical="center" wrapText="1"/>
    </xf>
    <xf borderId="3" fillId="8" fontId="14" numFmtId="165" xfId="0" applyAlignment="1" applyBorder="1" applyFont="1" applyNumberFormat="1">
      <alignment shrinkToFit="0" vertical="center" wrapText="1"/>
    </xf>
    <xf borderId="3" fillId="8" fontId="14" numFmtId="165" xfId="0" applyAlignment="1" applyBorder="1" applyFont="1" applyNumberFormat="1">
      <alignment horizontal="center" shrinkToFit="0" vertical="center" wrapText="1"/>
    </xf>
    <xf borderId="3" fillId="10" fontId="2" numFmtId="0" xfId="0" applyBorder="1" applyFont="1"/>
    <xf borderId="29" fillId="0" fontId="2" numFmtId="165" xfId="0" applyBorder="1" applyFont="1" applyNumberFormat="1"/>
    <xf borderId="29" fillId="0" fontId="13" numFmtId="0" xfId="0" applyBorder="1" applyFont="1"/>
    <xf borderId="2" fillId="0" fontId="13" numFmtId="165" xfId="0" applyBorder="1" applyFont="1" applyNumberFormat="1"/>
    <xf borderId="2" fillId="0" fontId="13" numFmtId="0" xfId="0" applyBorder="1" applyFont="1"/>
    <xf borderId="44" fillId="2" fontId="8" numFmtId="0" xfId="0" applyAlignment="1" applyBorder="1" applyFont="1">
      <alignment horizontal="center" vertical="center"/>
    </xf>
    <xf borderId="9" fillId="8" fontId="17" numFmtId="0" xfId="0" applyAlignment="1" applyBorder="1" applyFont="1">
      <alignment horizontal="center" shrinkToFit="0" vertical="center" wrapText="1"/>
    </xf>
    <xf borderId="9" fillId="8" fontId="10" numFmtId="0" xfId="0" applyAlignment="1" applyBorder="1" applyFont="1">
      <alignment horizontal="center" shrinkToFit="0" vertical="center" wrapText="1"/>
    </xf>
    <xf borderId="9" fillId="8" fontId="17" numFmtId="165" xfId="0" applyAlignment="1" applyBorder="1" applyFont="1" applyNumberFormat="1">
      <alignment horizontal="center" shrinkToFit="0" vertical="center" wrapText="1"/>
    </xf>
    <xf borderId="9" fillId="8" fontId="18" numFmtId="167" xfId="0" applyAlignment="1" applyBorder="1" applyFont="1" applyNumberFormat="1">
      <alignment horizontal="center" shrinkToFit="0" vertical="center" wrapText="1"/>
    </xf>
    <xf borderId="38" fillId="0" fontId="3" numFmtId="0" xfId="0" applyAlignment="1" applyBorder="1" applyFont="1">
      <alignment horizontal="center" shrinkToFit="0" vertical="center" wrapText="1"/>
    </xf>
    <xf borderId="38" fillId="0" fontId="2" numFmtId="164" xfId="0" applyBorder="1" applyFont="1" applyNumberFormat="1"/>
    <xf borderId="9" fillId="4" fontId="2" numFmtId="0" xfId="0" applyBorder="1" applyFont="1"/>
    <xf borderId="23" fillId="4" fontId="2" numFmtId="0" xfId="0" applyBorder="1" applyFont="1"/>
    <xf borderId="3" fillId="10" fontId="1" numFmtId="0" xfId="0" applyAlignment="1" applyBorder="1" applyFont="1">
      <alignment horizontal="center" vertical="center"/>
    </xf>
    <xf borderId="34" fillId="4" fontId="2" numFmtId="0" xfId="0" applyBorder="1" applyFont="1"/>
    <xf borderId="45" fillId="2" fontId="8" numFmtId="0" xfId="0" applyAlignment="1" applyBorder="1" applyFont="1">
      <alignment horizontal="center" vertical="center"/>
    </xf>
    <xf borderId="46" fillId="7" fontId="18" numFmtId="0" xfId="0" applyAlignment="1" applyBorder="1" applyFont="1">
      <alignment horizontal="center" shrinkToFit="0" vertical="center" wrapText="1"/>
    </xf>
    <xf borderId="46" fillId="7" fontId="10" numFmtId="0" xfId="0" applyAlignment="1" applyBorder="1" applyFont="1">
      <alignment horizontal="center" shrinkToFit="0" vertical="center" wrapText="1"/>
    </xf>
    <xf borderId="46" fillId="7" fontId="18" numFmtId="165" xfId="0" applyAlignment="1" applyBorder="1" applyFont="1" applyNumberFormat="1">
      <alignment horizontal="center" shrinkToFit="0" vertical="center" wrapText="1"/>
    </xf>
    <xf borderId="46" fillId="7" fontId="9" numFmtId="0" xfId="0" applyAlignment="1" applyBorder="1" applyFont="1">
      <alignment horizontal="center" shrinkToFit="0" vertical="center" wrapText="1"/>
    </xf>
    <xf borderId="46" fillId="7" fontId="19" numFmtId="0" xfId="0" applyBorder="1" applyFont="1"/>
    <xf borderId="46" fillId="4" fontId="2" numFmtId="0" xfId="0" applyBorder="1" applyFont="1"/>
    <xf borderId="13" fillId="4" fontId="2" numFmtId="0" xfId="0" applyBorder="1" applyFont="1"/>
    <xf borderId="17" fillId="8" fontId="14" numFmtId="0" xfId="0" applyAlignment="1" applyBorder="1" applyFont="1">
      <alignment vertical="center"/>
    </xf>
    <xf borderId="17" fillId="10" fontId="2" numFmtId="4" xfId="0" applyBorder="1" applyFont="1" applyNumberFormat="1"/>
    <xf borderId="17" fillId="4" fontId="2" numFmtId="0" xfId="0" applyBorder="1" applyFont="1"/>
    <xf borderId="47" fillId="8" fontId="14" numFmtId="0" xfId="0" applyAlignment="1" applyBorder="1" applyFont="1">
      <alignment horizontal="left" shrinkToFit="0" vertical="center" wrapText="1"/>
    </xf>
    <xf borderId="48" fillId="8" fontId="14" numFmtId="165" xfId="0" applyAlignment="1" applyBorder="1" applyFont="1" applyNumberFormat="1">
      <alignment horizontal="left" shrinkToFit="0" vertical="center" wrapText="1"/>
    </xf>
    <xf borderId="23" fillId="10" fontId="2" numFmtId="4" xfId="0" applyBorder="1" applyFont="1" applyNumberFormat="1"/>
    <xf borderId="20" fillId="4" fontId="15" numFmtId="0" xfId="0" applyAlignment="1" applyBorder="1" applyFont="1">
      <alignment horizontal="left" shrinkToFit="0" vertical="center" wrapText="1"/>
    </xf>
    <xf borderId="49" fillId="4" fontId="15" numFmtId="0" xfId="0" applyAlignment="1" applyBorder="1" applyFont="1">
      <alignment horizontal="center" shrinkToFit="0" vertical="center" wrapText="1"/>
    </xf>
    <xf borderId="24" fillId="4" fontId="15" numFmtId="165" xfId="0" applyAlignment="1" applyBorder="1" applyFont="1" applyNumberFormat="1">
      <alignment horizontal="center" shrinkToFit="0" vertical="center" wrapText="1"/>
    </xf>
    <xf borderId="19" fillId="4" fontId="15" numFmtId="0" xfId="0" applyAlignment="1" applyBorder="1" applyFont="1">
      <alignment horizontal="center" shrinkToFit="0" vertical="center" wrapText="1"/>
    </xf>
    <xf borderId="3" fillId="4" fontId="15" numFmtId="0" xfId="0" applyAlignment="1" applyBorder="1" applyFont="1">
      <alignment horizontal="left" shrinkToFit="0" vertical="center" wrapText="1"/>
    </xf>
    <xf borderId="50" fillId="0" fontId="15" numFmtId="0" xfId="0" applyAlignment="1" applyBorder="1" applyFont="1">
      <alignment horizontal="center" shrinkToFit="0" vertical="center" wrapText="1"/>
    </xf>
    <xf borderId="8" fillId="4" fontId="15" numFmtId="0" xfId="0" applyAlignment="1" applyBorder="1" applyFont="1">
      <alignment horizontal="center" shrinkToFit="0" vertical="center" wrapText="1"/>
    </xf>
    <xf borderId="3" fillId="4" fontId="2" numFmtId="165" xfId="0" applyBorder="1" applyFont="1" applyNumberFormat="1"/>
    <xf borderId="3" fillId="4" fontId="2" numFmtId="165" xfId="0" applyAlignment="1" applyBorder="1" applyFont="1" applyNumberFormat="1">
      <alignment horizontal="right" shrinkToFit="0" vertical="center" wrapText="1"/>
    </xf>
    <xf borderId="3" fillId="4" fontId="14" numFmtId="0" xfId="0" applyAlignment="1" applyBorder="1" applyFont="1">
      <alignment horizontal="center" shrinkToFit="0" vertical="center" wrapText="1"/>
    </xf>
    <xf borderId="3" fillId="4" fontId="14" numFmtId="0" xfId="0" applyAlignment="1" applyBorder="1" applyFont="1">
      <alignment horizontal="left" shrinkToFit="0" vertical="center" wrapText="1"/>
    </xf>
    <xf borderId="3" fillId="4" fontId="14" numFmtId="165" xfId="0" applyAlignment="1" applyBorder="1" applyFont="1" applyNumberFormat="1">
      <alignment horizontal="left" shrinkToFit="0" vertical="center" wrapText="1"/>
    </xf>
    <xf borderId="3" fillId="4" fontId="14" numFmtId="165" xfId="0" applyAlignment="1" applyBorder="1" applyFont="1" applyNumberFormat="1">
      <alignment horizontal="center" shrinkToFit="0" vertical="center" wrapText="1"/>
    </xf>
    <xf borderId="3" fillId="4" fontId="13" numFmtId="0" xfId="0" applyAlignment="1" applyBorder="1" applyFont="1">
      <alignment horizontal="center" shrinkToFit="0" vertical="center" wrapText="1"/>
    </xf>
    <xf borderId="3" fillId="4" fontId="2" numFmtId="0" xfId="0" applyAlignment="1" applyBorder="1" applyFont="1">
      <alignment horizontal="center"/>
    </xf>
    <xf borderId="17" fillId="4" fontId="15" numFmtId="0" xfId="0" applyAlignment="1" applyBorder="1" applyFont="1">
      <alignment horizontal="center" shrinkToFit="0" vertical="center" wrapText="1"/>
    </xf>
    <xf borderId="17" fillId="4" fontId="15" numFmtId="0" xfId="0" applyAlignment="1" applyBorder="1" applyFont="1">
      <alignment shrinkToFit="0" vertical="center" wrapText="1"/>
    </xf>
    <xf borderId="17" fillId="4" fontId="15" numFmtId="165" xfId="0" applyAlignment="1" applyBorder="1" applyFont="1" applyNumberFormat="1">
      <alignment horizontal="center" shrinkToFit="0" vertical="center" wrapText="1"/>
    </xf>
    <xf borderId="17" fillId="4" fontId="2" numFmtId="0" xfId="0" applyAlignment="1" applyBorder="1" applyFont="1">
      <alignment horizontal="center" shrinkToFit="0" vertical="center" wrapText="1"/>
    </xf>
    <xf borderId="23" fillId="10" fontId="2" numFmtId="0" xfId="0" applyBorder="1" applyFont="1"/>
    <xf borderId="51" fillId="2" fontId="8" numFmtId="0" xfId="0" applyAlignment="1" applyBorder="1" applyFont="1">
      <alignment horizontal="center" vertical="center"/>
    </xf>
    <xf borderId="17" fillId="8" fontId="17" numFmtId="0" xfId="0" applyAlignment="1" applyBorder="1" applyFont="1">
      <alignment horizontal="center" shrinkToFit="0" vertical="center" wrapText="1"/>
    </xf>
    <xf borderId="17" fillId="8" fontId="10" numFmtId="0" xfId="0" applyAlignment="1" applyBorder="1" applyFont="1">
      <alignment horizontal="center" shrinkToFit="0" vertical="center" wrapText="1"/>
    </xf>
    <xf borderId="17" fillId="8" fontId="17" numFmtId="165" xfId="0" applyAlignment="1" applyBorder="1" applyFont="1" applyNumberFormat="1">
      <alignment horizontal="center" shrinkToFit="0" vertical="center" wrapText="1"/>
    </xf>
    <xf borderId="17" fillId="8" fontId="18" numFmtId="165" xfId="0" applyAlignment="1" applyBorder="1" applyFont="1" applyNumberFormat="1">
      <alignment horizontal="center" shrinkToFit="0" vertical="center" wrapText="1"/>
    </xf>
    <xf borderId="17" fillId="4" fontId="3" numFmtId="0" xfId="0" applyAlignment="1" applyBorder="1" applyFont="1">
      <alignment horizontal="center" shrinkToFit="0" vertical="center" wrapText="1"/>
    </xf>
    <xf borderId="17" fillId="4" fontId="2" numFmtId="164" xfId="0" applyAlignment="1" applyBorder="1" applyFont="1" applyNumberFormat="1">
      <alignment horizontal="center" vertical="center"/>
    </xf>
    <xf borderId="17" fillId="4" fontId="2" numFmtId="0" xfId="0" applyAlignment="1" applyBorder="1" applyFont="1">
      <alignment horizontal="center" vertical="center"/>
    </xf>
    <xf borderId="17" fillId="8" fontId="9" numFmtId="164" xfId="0" applyAlignment="1" applyBorder="1" applyFont="1" applyNumberFormat="1">
      <alignment horizontal="center" shrinkToFit="0" vertical="center" wrapText="1"/>
    </xf>
    <xf borderId="17" fillId="4" fontId="16" numFmtId="0" xfId="0" applyAlignment="1" applyBorder="1" applyFont="1">
      <alignment horizontal="center" shrinkToFit="0" vertical="center" wrapText="1"/>
    </xf>
    <xf borderId="18" fillId="4" fontId="13" numFmtId="164" xfId="0" applyAlignment="1" applyBorder="1" applyFont="1" applyNumberFormat="1">
      <alignment horizontal="center" vertical="center"/>
    </xf>
    <xf borderId="19" fillId="4" fontId="2" numFmtId="0" xfId="0" applyAlignment="1" applyBorder="1" applyFont="1">
      <alignment horizontal="center" vertical="center"/>
    </xf>
    <xf borderId="52" fillId="3" fontId="8" numFmtId="0" xfId="0" applyAlignment="1" applyBorder="1" applyFont="1">
      <alignment horizontal="center" vertical="center"/>
    </xf>
    <xf borderId="34" fillId="3" fontId="2" numFmtId="0" xfId="0" applyAlignment="1" applyBorder="1" applyFont="1">
      <alignment vertical="center"/>
    </xf>
    <xf borderId="34" fillId="3" fontId="3" numFmtId="0" xfId="0" applyAlignment="1" applyBorder="1" applyFont="1">
      <alignment horizontal="center"/>
    </xf>
    <xf borderId="34" fillId="3" fontId="2" numFmtId="164" xfId="0" applyBorder="1" applyFont="1" applyNumberFormat="1"/>
    <xf borderId="1" fillId="3" fontId="2" numFmtId="0" xfId="0" applyBorder="1" applyFont="1"/>
    <xf borderId="9" fillId="7" fontId="18" numFmtId="0" xfId="0" applyAlignment="1" applyBorder="1" applyFont="1">
      <alignment horizontal="center" shrinkToFit="0" vertical="center" wrapText="1"/>
    </xf>
    <xf borderId="9" fillId="7" fontId="20" numFmtId="0" xfId="0" applyAlignment="1" applyBorder="1" applyFont="1">
      <alignment horizontal="center" shrinkToFit="0" vertical="center" wrapText="1"/>
    </xf>
    <xf borderId="9" fillId="7" fontId="18" numFmtId="165" xfId="0" applyAlignment="1" applyBorder="1" applyFont="1" applyNumberFormat="1">
      <alignment horizontal="center" shrinkToFit="0" vertical="center" wrapText="1"/>
    </xf>
    <xf borderId="9" fillId="7" fontId="9" numFmtId="0" xfId="0" applyAlignment="1" applyBorder="1" applyFont="1">
      <alignment horizontal="center" shrinkToFit="0" vertical="center" wrapText="1"/>
    </xf>
    <xf borderId="9" fillId="7" fontId="19" numFmtId="0" xfId="0" applyBorder="1" applyFont="1"/>
    <xf borderId="1" fillId="8" fontId="14" numFmtId="0" xfId="0" applyAlignment="1" applyBorder="1" applyFont="1">
      <alignment horizontal="left" shrinkToFit="0" vertical="center" wrapText="1"/>
    </xf>
    <xf borderId="33" fillId="0" fontId="13" numFmtId="165" xfId="0" applyBorder="1" applyFont="1" applyNumberFormat="1"/>
    <xf borderId="21" fillId="0" fontId="13" numFmtId="165" xfId="0" applyBorder="1" applyFont="1" applyNumberFormat="1"/>
    <xf borderId="38" fillId="0" fontId="13" numFmtId="0" xfId="0" applyBorder="1" applyFont="1"/>
    <xf borderId="21" fillId="0" fontId="13" numFmtId="0" xfId="0" applyBorder="1" applyFont="1"/>
    <xf borderId="3" fillId="0" fontId="13" numFmtId="165" xfId="0" applyBorder="1" applyFont="1" applyNumberFormat="1"/>
    <xf borderId="53" fillId="2" fontId="1" numFmtId="0" xfId="0" applyBorder="1" applyFont="1"/>
    <xf borderId="54" fillId="8" fontId="14" numFmtId="0" xfId="0" applyAlignment="1" applyBorder="1" applyFont="1">
      <alignment horizontal="center" shrinkToFit="0" vertical="center" wrapText="1"/>
    </xf>
    <xf borderId="0" fillId="0" fontId="13" numFmtId="0" xfId="0" applyFont="1"/>
    <xf borderId="3" fillId="8" fontId="14" numFmtId="0" xfId="0" applyAlignment="1" applyBorder="1" applyFont="1">
      <alignment horizontal="center" shrinkToFit="0" vertical="center" wrapText="1"/>
    </xf>
    <xf borderId="3" fillId="8" fontId="21" numFmtId="165" xfId="0" applyAlignment="1" applyBorder="1" applyFont="1" applyNumberFormat="1">
      <alignment horizontal="center" shrinkToFit="0" vertical="center" wrapText="1"/>
    </xf>
    <xf borderId="3" fillId="4" fontId="15" numFmtId="164" xfId="0" applyAlignment="1" applyBorder="1" applyFont="1" applyNumberFormat="1">
      <alignment horizontal="center" shrinkToFit="0" vertical="center" wrapText="1"/>
    </xf>
    <xf borderId="3" fillId="9" fontId="1" numFmtId="0" xfId="0" applyBorder="1" applyFont="1"/>
    <xf borderId="3" fillId="9" fontId="15" numFmtId="0" xfId="0" applyAlignment="1" applyBorder="1" applyFont="1">
      <alignment horizontal="center" shrinkToFit="0" vertical="center" wrapText="1"/>
    </xf>
    <xf borderId="3" fillId="9" fontId="15" numFmtId="0" xfId="0" applyAlignment="1" applyBorder="1" applyFont="1">
      <alignment shrinkToFit="0" vertical="center" wrapText="1"/>
    </xf>
    <xf borderId="3" fillId="9" fontId="15" numFmtId="165" xfId="0" applyAlignment="1" applyBorder="1" applyFont="1" applyNumberFormat="1">
      <alignment horizontal="center" shrinkToFit="0" vertical="center" wrapText="1"/>
    </xf>
    <xf borderId="3" fillId="9" fontId="2" numFmtId="165" xfId="0" applyAlignment="1" applyBorder="1" applyFont="1" applyNumberFormat="1">
      <alignment horizontal="center" shrinkToFit="0" vertical="center" wrapText="1"/>
    </xf>
    <xf borderId="3" fillId="9" fontId="2" numFmtId="164" xfId="0" applyBorder="1" applyFont="1" applyNumberFormat="1"/>
    <xf borderId="3" fillId="9" fontId="2" numFmtId="0" xfId="0" applyBorder="1" applyFont="1"/>
    <xf borderId="3" fillId="8" fontId="14" numFmtId="0" xfId="0" applyAlignment="1" applyBorder="1" applyFont="1">
      <alignment horizontal="left" shrinkToFit="0" vertical="center" wrapText="1"/>
    </xf>
    <xf borderId="3" fillId="8" fontId="14" numFmtId="165" xfId="0" applyAlignment="1" applyBorder="1" applyFont="1" applyNumberFormat="1">
      <alignment horizontal="left" shrinkToFit="0" vertical="center" wrapText="1"/>
    </xf>
    <xf borderId="3" fillId="4" fontId="3" numFmtId="0" xfId="0" applyAlignment="1" applyBorder="1" applyFont="1">
      <alignment shrinkToFit="0" wrapText="1"/>
    </xf>
    <xf borderId="3" fillId="4" fontId="3" numFmtId="165" xfId="0" applyAlignment="1" applyBorder="1" applyFont="1" applyNumberFormat="1">
      <alignment horizontal="center" shrinkToFit="0" vertical="center" wrapText="1"/>
    </xf>
    <xf borderId="3" fillId="4" fontId="3" numFmtId="165" xfId="0" applyAlignment="1" applyBorder="1" applyFont="1" applyNumberFormat="1">
      <alignment shrinkToFit="0" wrapText="1"/>
    </xf>
    <xf borderId="3" fillId="2" fontId="2" numFmtId="0" xfId="0" applyBorder="1" applyFont="1"/>
    <xf borderId="40" fillId="4" fontId="2" numFmtId="0" xfId="0" applyBorder="1" applyFont="1"/>
    <xf borderId="3" fillId="0" fontId="2" numFmtId="0" xfId="0" applyAlignment="1" applyBorder="1" applyFont="1">
      <alignment shrinkToFit="0" vertical="center" wrapText="1"/>
    </xf>
    <xf borderId="3" fillId="0" fontId="2" numFmtId="0" xfId="0" applyAlignment="1" applyBorder="1" applyFont="1">
      <alignment shrinkToFit="0" wrapText="1"/>
    </xf>
    <xf borderId="2" fillId="0" fontId="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shrinkToFit="0" wrapText="1"/>
    </xf>
    <xf borderId="3" fillId="4" fontId="15" numFmtId="0" xfId="0" applyAlignment="1" applyBorder="1" applyFont="1">
      <alignment readingOrder="0" shrinkToFit="0" vertical="center" wrapText="1"/>
    </xf>
    <xf borderId="3" fillId="4" fontId="2" numFmtId="0" xfId="0" applyAlignment="1" applyBorder="1" applyFont="1">
      <alignment shrinkToFit="0" vertical="center" wrapText="1"/>
    </xf>
    <xf borderId="55" fillId="8" fontId="14" numFmtId="165" xfId="0" applyAlignment="1" applyBorder="1" applyFont="1" applyNumberFormat="1">
      <alignment horizontal="left" shrinkToFit="0" vertical="center" wrapText="1"/>
    </xf>
    <xf borderId="9" fillId="8" fontId="14" numFmtId="0" xfId="0" applyAlignment="1" applyBorder="1" applyFont="1">
      <alignment horizontal="left" shrinkToFit="0" vertical="center" wrapText="1"/>
    </xf>
    <xf borderId="9" fillId="8" fontId="14" numFmtId="165" xfId="0" applyAlignment="1" applyBorder="1" applyFont="1" applyNumberFormat="1">
      <alignment horizontal="center" shrinkToFit="0" vertical="center" wrapText="1"/>
    </xf>
    <xf borderId="56" fillId="4" fontId="15" numFmtId="0" xfId="0" applyAlignment="1" applyBorder="1" applyFont="1">
      <alignment horizontal="center" shrinkToFit="0" vertical="center" wrapText="1"/>
    </xf>
    <xf borderId="24" fillId="4" fontId="2" numFmtId="165" xfId="0" applyAlignment="1" applyBorder="1" applyFont="1" applyNumberFormat="1">
      <alignment horizontal="center" shrinkToFit="0" vertical="center" wrapText="1"/>
    </xf>
    <xf borderId="54" fillId="4" fontId="15" numFmtId="0" xfId="0" applyAlignment="1" applyBorder="1" applyFont="1">
      <alignment horizontal="center" shrinkToFit="0" vertical="center" wrapText="1"/>
    </xf>
    <xf borderId="26" fillId="4" fontId="2" numFmtId="0" xfId="0" applyBorder="1" applyFont="1"/>
    <xf borderId="57" fillId="0" fontId="15" numFmtId="0" xfId="0" applyAlignment="1" applyBorder="1" applyFont="1">
      <alignment horizontal="center" shrinkToFit="0" vertical="center" wrapText="1"/>
    </xf>
    <xf borderId="3" fillId="8" fontId="18" numFmtId="0" xfId="0" applyAlignment="1" applyBorder="1" applyFont="1">
      <alignment horizontal="center" shrinkToFit="0" vertical="center" wrapText="1"/>
    </xf>
    <xf borderId="3" fillId="8" fontId="18" numFmtId="0" xfId="0" applyAlignment="1" applyBorder="1" applyFont="1">
      <alignment shrinkToFit="0" vertical="center" wrapText="1"/>
    </xf>
    <xf borderId="3" fillId="8" fontId="18" numFmtId="165" xfId="0" applyAlignment="1" applyBorder="1" applyFont="1" applyNumberFormat="1">
      <alignment horizontal="center" shrinkToFit="0" vertical="center" wrapText="1"/>
    </xf>
    <xf borderId="3" fillId="0" fontId="3" numFmtId="165" xfId="0" applyBorder="1" applyFont="1" applyNumberFormat="1"/>
    <xf borderId="58" fillId="0" fontId="15" numFmtId="0" xfId="0" applyAlignment="1" applyBorder="1" applyFont="1">
      <alignment shrinkToFit="0" vertical="center" wrapText="1"/>
    </xf>
    <xf borderId="3" fillId="8" fontId="15" numFmtId="0" xfId="0" applyAlignment="1" applyBorder="1" applyFont="1">
      <alignment horizontal="center" shrinkToFit="0" vertical="center" wrapText="1"/>
    </xf>
    <xf borderId="3" fillId="8" fontId="15" numFmtId="165" xfId="0" applyAlignment="1" applyBorder="1" applyFont="1" applyNumberFormat="1">
      <alignment horizontal="center" shrinkToFit="0" vertical="center" wrapText="1"/>
    </xf>
    <xf borderId="0" fillId="0" fontId="2" numFmtId="0" xfId="0" applyFont="1"/>
    <xf borderId="40" fillId="4" fontId="14" numFmtId="0" xfId="0" applyAlignment="1" applyBorder="1" applyFont="1">
      <alignment horizontal="center" shrinkToFit="0" vertical="center" wrapText="1"/>
    </xf>
    <xf borderId="40" fillId="4" fontId="14" numFmtId="0" xfId="0" applyAlignment="1" applyBorder="1" applyFont="1">
      <alignment horizontal="left" shrinkToFit="0" vertical="center" wrapText="1"/>
    </xf>
    <xf borderId="40" fillId="4" fontId="14" numFmtId="165" xfId="0" applyAlignment="1" applyBorder="1" applyFont="1" applyNumberFormat="1">
      <alignment horizontal="left" shrinkToFit="0" vertical="center" wrapText="1"/>
    </xf>
    <xf borderId="40" fillId="4" fontId="14" numFmtId="165" xfId="0" applyAlignment="1" applyBorder="1" applyFont="1" applyNumberFormat="1">
      <alignment horizontal="center" shrinkToFit="0" vertical="center" wrapText="1"/>
    </xf>
    <xf borderId="40" fillId="4" fontId="13" numFmtId="0" xfId="0" applyAlignment="1" applyBorder="1" applyFont="1">
      <alignment horizontal="center" shrinkToFit="0" vertical="center" wrapText="1"/>
    </xf>
    <xf borderId="3" fillId="6" fontId="15" numFmtId="0" xfId="0" applyAlignment="1" applyBorder="1" applyFont="1">
      <alignment horizontal="left" shrinkToFit="0" vertical="center" wrapText="1"/>
    </xf>
    <xf borderId="3" fillId="6" fontId="3" numFmtId="0" xfId="0" applyAlignment="1" applyBorder="1" applyFont="1">
      <alignment horizontal="center" shrinkToFit="0" vertical="center" wrapText="1"/>
    </xf>
    <xf borderId="3" fillId="6" fontId="14" numFmtId="165" xfId="0" applyAlignment="1" applyBorder="1" applyFont="1" applyNumberFormat="1">
      <alignment horizontal="center" shrinkToFit="0" vertical="center" wrapText="1"/>
    </xf>
    <xf borderId="3" fillId="10" fontId="15" numFmtId="0" xfId="0" applyAlignment="1" applyBorder="1" applyFont="1">
      <alignment shrinkToFit="0" vertical="center" wrapText="1"/>
    </xf>
    <xf borderId="8" fillId="4" fontId="3" numFmtId="165" xfId="0" applyAlignment="1" applyBorder="1" applyFont="1" applyNumberFormat="1">
      <alignment shrinkToFit="0" wrapText="1"/>
    </xf>
    <xf borderId="36" fillId="0" fontId="3" numFmtId="165" xfId="0" applyAlignment="1" applyBorder="1" applyFont="1" applyNumberFormat="1">
      <alignment shrinkToFit="0" wrapText="1"/>
    </xf>
    <xf borderId="50" fillId="0" fontId="16" numFmtId="0" xfId="0" applyAlignment="1" applyBorder="1" applyFont="1">
      <alignment horizontal="center" shrinkToFit="0" vertical="center" wrapText="1"/>
    </xf>
    <xf borderId="59" fillId="0" fontId="16" numFmtId="0" xfId="0" applyAlignment="1" applyBorder="1" applyFont="1">
      <alignment horizontal="center" shrinkToFit="0" vertical="center" wrapText="1"/>
    </xf>
    <xf borderId="36" fillId="0" fontId="3" numFmtId="0" xfId="0" applyAlignment="1" applyBorder="1" applyFont="1">
      <alignment horizontal="center" shrinkToFit="0" vertical="center" wrapText="1"/>
    </xf>
    <xf borderId="3" fillId="0" fontId="13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8.5"/>
    <col customWidth="1" min="3" max="3" width="90.88"/>
    <col customWidth="1" min="4" max="4" width="42.63"/>
    <col customWidth="1" min="5" max="5" width="14.13"/>
    <col customWidth="1" min="6" max="6" width="6.0"/>
    <col customWidth="1" min="7" max="8" width="16.0"/>
    <col customWidth="1" min="9" max="9" width="15.0"/>
    <col customWidth="1" min="10" max="10" width="14.5"/>
    <col customWidth="1" min="11" max="11" width="12.63"/>
    <col customWidth="1" min="12" max="12" width="16.88"/>
    <col customWidth="1" min="13" max="17" width="12.63"/>
    <col customWidth="1" min="18" max="18" width="78.13"/>
    <col customWidth="1" min="19" max="19" width="33.0"/>
    <col customWidth="1" min="20" max="26" width="12.63"/>
  </cols>
  <sheetData>
    <row r="1" ht="15.0" customHeight="1">
      <c r="A1" s="1"/>
      <c r="B1" s="2"/>
      <c r="C1" s="2"/>
      <c r="D1" s="2"/>
      <c r="E1" s="2"/>
      <c r="F1" s="2"/>
      <c r="G1" s="2"/>
      <c r="H1" s="2"/>
      <c r="I1" s="3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39.0" customHeight="1">
      <c r="A2" s="6"/>
      <c r="B2" s="7" t="s">
        <v>0</v>
      </c>
      <c r="C2" s="8"/>
      <c r="D2" s="8"/>
      <c r="E2" s="8"/>
      <c r="F2" s="8"/>
      <c r="G2" s="8"/>
      <c r="H2" s="9"/>
      <c r="I2" s="10"/>
      <c r="J2" s="1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33.0" customHeight="1">
      <c r="A3" s="6"/>
      <c r="B3" s="13"/>
      <c r="C3" s="13" t="s">
        <v>1</v>
      </c>
      <c r="D3" s="13" t="s">
        <v>2</v>
      </c>
      <c r="E3" s="14" t="s">
        <v>3</v>
      </c>
      <c r="F3" s="13" t="s">
        <v>4</v>
      </c>
      <c r="G3" s="14" t="s">
        <v>5</v>
      </c>
      <c r="H3" s="15" t="s">
        <v>6</v>
      </c>
      <c r="I3" s="16"/>
      <c r="J3" s="17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33.0" customHeight="1">
      <c r="A4" s="19" t="s">
        <v>7</v>
      </c>
      <c r="B4" s="20"/>
      <c r="C4" s="21" t="s">
        <v>8</v>
      </c>
      <c r="D4" s="20"/>
      <c r="E4" s="22"/>
      <c r="F4" s="20"/>
      <c r="G4" s="22"/>
      <c r="H4" s="23"/>
      <c r="I4" s="24"/>
      <c r="J4" s="25"/>
      <c r="K4" s="26"/>
      <c r="L4" s="27" t="s">
        <v>9</v>
      </c>
      <c r="M4" s="27" t="s">
        <v>10</v>
      </c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>
      <c r="A5" s="28"/>
      <c r="B5" s="29">
        <v>1.0</v>
      </c>
      <c r="C5" s="30" t="s">
        <v>11</v>
      </c>
      <c r="D5" s="30"/>
      <c r="E5" s="31"/>
      <c r="F5" s="30"/>
      <c r="G5" s="32">
        <f>SUM(G6:G16)</f>
        <v>198562.5</v>
      </c>
      <c r="H5" s="33">
        <f>SUM(H6:H15)</f>
        <v>8675</v>
      </c>
      <c r="I5" s="34" t="s">
        <v>12</v>
      </c>
      <c r="J5" s="35">
        <f>G5</f>
        <v>198562.5</v>
      </c>
      <c r="K5" s="5"/>
      <c r="L5" s="5">
        <f>SUM(L6:L16)</f>
        <v>18000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6"/>
      <c r="B6" s="37" t="s">
        <v>13</v>
      </c>
      <c r="C6" s="38" t="s">
        <v>14</v>
      </c>
      <c r="D6" s="39" t="s">
        <v>15</v>
      </c>
      <c r="E6" s="40">
        <v>162.5</v>
      </c>
      <c r="F6" s="39">
        <v>240.0</v>
      </c>
      <c r="G6" s="40">
        <f t="shared" ref="G6:G16" si="1">E6*F6</f>
        <v>39000</v>
      </c>
      <c r="H6" s="40"/>
      <c r="I6" s="41"/>
      <c r="J6" s="4">
        <f>J5</f>
        <v>198562.5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42"/>
      <c r="B7" s="43" t="s">
        <v>16</v>
      </c>
      <c r="C7" s="44" t="s">
        <v>17</v>
      </c>
      <c r="D7" s="45" t="s">
        <v>18</v>
      </c>
      <c r="E7" s="46">
        <v>162.5</v>
      </c>
      <c r="F7" s="45">
        <v>140.0</v>
      </c>
      <c r="G7" s="46">
        <f t="shared" si="1"/>
        <v>22750</v>
      </c>
      <c r="H7" s="46"/>
      <c r="I7" s="41"/>
      <c r="J7" s="4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42"/>
      <c r="B8" s="43" t="s">
        <v>19</v>
      </c>
      <c r="C8" s="44" t="s">
        <v>20</v>
      </c>
      <c r="D8" s="45" t="s">
        <v>18</v>
      </c>
      <c r="E8" s="46">
        <v>162.5</v>
      </c>
      <c r="F8" s="45">
        <v>160.0</v>
      </c>
      <c r="G8" s="46">
        <f t="shared" si="1"/>
        <v>26000</v>
      </c>
      <c r="H8" s="46"/>
      <c r="I8" s="41"/>
      <c r="J8" s="4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42"/>
      <c r="B9" s="43" t="s">
        <v>21</v>
      </c>
      <c r="C9" s="44" t="s">
        <v>22</v>
      </c>
      <c r="D9" s="45" t="s">
        <v>23</v>
      </c>
      <c r="E9" s="46">
        <v>137.5</v>
      </c>
      <c r="F9" s="45">
        <v>155.0</v>
      </c>
      <c r="G9" s="46">
        <f t="shared" si="1"/>
        <v>21312.5</v>
      </c>
      <c r="H9" s="46">
        <v>2612.5</v>
      </c>
      <c r="I9" s="41"/>
      <c r="J9" s="47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>
      <c r="A10" s="42"/>
      <c r="B10" s="43" t="s">
        <v>24</v>
      </c>
      <c r="C10" s="44" t="s">
        <v>25</v>
      </c>
      <c r="D10" s="45" t="s">
        <v>26</v>
      </c>
      <c r="E10" s="46">
        <v>212.5</v>
      </c>
      <c r="F10" s="45">
        <v>80.0</v>
      </c>
      <c r="G10" s="46">
        <f t="shared" si="1"/>
        <v>17000</v>
      </c>
      <c r="H10" s="46">
        <v>956.25</v>
      </c>
      <c r="I10" s="49" t="s">
        <v>27</v>
      </c>
      <c r="J10" s="4"/>
      <c r="K10" s="5"/>
      <c r="L10" s="5"/>
      <c r="M10" s="5">
        <v>5202.2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42"/>
      <c r="B11" s="43" t="s">
        <v>28</v>
      </c>
      <c r="C11" s="44" t="s">
        <v>29</v>
      </c>
      <c r="D11" s="45" t="s">
        <v>30</v>
      </c>
      <c r="E11" s="46">
        <v>137.5</v>
      </c>
      <c r="F11" s="45">
        <v>140.0</v>
      </c>
      <c r="G11" s="46">
        <f t="shared" si="1"/>
        <v>19250</v>
      </c>
      <c r="H11" s="46">
        <v>2543.75</v>
      </c>
      <c r="I11" s="41"/>
      <c r="J11" s="4"/>
      <c r="K11" s="5"/>
      <c r="L11" s="5"/>
      <c r="M11" s="5">
        <v>4000.0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42"/>
      <c r="B12" s="43" t="s">
        <v>31</v>
      </c>
      <c r="C12" s="44" t="s">
        <v>32</v>
      </c>
      <c r="D12" s="45" t="s">
        <v>33</v>
      </c>
      <c r="E12" s="46">
        <v>250.0</v>
      </c>
      <c r="F12" s="45">
        <v>80.0</v>
      </c>
      <c r="G12" s="46">
        <f t="shared" si="1"/>
        <v>20000</v>
      </c>
      <c r="H12" s="46">
        <v>2031.25</v>
      </c>
      <c r="I12" s="41"/>
      <c r="J12" s="4"/>
      <c r="K12" s="5"/>
      <c r="L12" s="5">
        <v>12000.0</v>
      </c>
      <c r="M12" s="5">
        <v>6000.0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42"/>
      <c r="B13" s="43" t="s">
        <v>34</v>
      </c>
      <c r="C13" s="44" t="s">
        <v>35</v>
      </c>
      <c r="D13" s="45" t="s">
        <v>33</v>
      </c>
      <c r="E13" s="46">
        <v>250.0</v>
      </c>
      <c r="F13" s="45">
        <v>24.0</v>
      </c>
      <c r="G13" s="46">
        <f t="shared" si="1"/>
        <v>6000</v>
      </c>
      <c r="H13" s="46">
        <v>531.25</v>
      </c>
      <c r="I13" s="41"/>
      <c r="J13" s="4"/>
      <c r="K13" s="5"/>
      <c r="L13" s="5">
        <v>3000.0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42"/>
      <c r="B14" s="43" t="s">
        <v>36</v>
      </c>
      <c r="C14" s="44" t="s">
        <v>37</v>
      </c>
      <c r="D14" s="45" t="s">
        <v>33</v>
      </c>
      <c r="E14" s="46">
        <v>250.0</v>
      </c>
      <c r="F14" s="45">
        <v>12.0</v>
      </c>
      <c r="G14" s="46">
        <f t="shared" si="1"/>
        <v>3000</v>
      </c>
      <c r="H14" s="46"/>
      <c r="I14" s="41"/>
      <c r="J14" s="4"/>
      <c r="K14" s="5"/>
      <c r="L14" s="5">
        <v>3000.0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42"/>
      <c r="B15" s="43" t="s">
        <v>38</v>
      </c>
      <c r="C15" s="44" t="s">
        <v>39</v>
      </c>
      <c r="D15" s="45" t="s">
        <v>40</v>
      </c>
      <c r="E15" s="46">
        <v>14625.0</v>
      </c>
      <c r="F15" s="45">
        <v>1.0</v>
      </c>
      <c r="G15" s="46">
        <f t="shared" si="1"/>
        <v>14625</v>
      </c>
      <c r="H15" s="46"/>
      <c r="I15" s="41"/>
      <c r="J15" s="4"/>
      <c r="K15" s="5"/>
      <c r="L15" s="5" t="s">
        <v>41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2.5" customHeight="1">
      <c r="A16" s="1"/>
      <c r="B16" s="50" t="s">
        <v>42</v>
      </c>
      <c r="C16" s="51" t="s">
        <v>43</v>
      </c>
      <c r="D16" s="52" t="s">
        <v>44</v>
      </c>
      <c r="E16" s="53">
        <v>137.5</v>
      </c>
      <c r="F16" s="52">
        <v>70.0</v>
      </c>
      <c r="G16" s="53">
        <f t="shared" si="1"/>
        <v>9625</v>
      </c>
      <c r="H16" s="54"/>
      <c r="I16" s="55" t="s">
        <v>45</v>
      </c>
      <c r="J16" s="56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ht="24.75" customHeight="1">
      <c r="A17" s="58"/>
      <c r="B17" s="59">
        <v>2.0</v>
      </c>
      <c r="C17" s="60" t="s">
        <v>46</v>
      </c>
      <c r="D17" s="60"/>
      <c r="E17" s="61"/>
      <c r="F17" s="60"/>
      <c r="G17" s="62">
        <f>SUM(G18:G24)</f>
        <v>199375</v>
      </c>
      <c r="H17" s="62">
        <f>SUM(H18:H23)</f>
        <v>0</v>
      </c>
      <c r="I17" s="63" t="s">
        <v>47</v>
      </c>
      <c r="J17" s="64">
        <f>G17</f>
        <v>199375</v>
      </c>
      <c r="K17" s="65">
        <f>J5+J17</f>
        <v>397937.5</v>
      </c>
      <c r="L17" s="66">
        <v>45000.0</v>
      </c>
      <c r="M17" s="67">
        <v>5000.0</v>
      </c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>
      <c r="A18" s="36"/>
      <c r="B18" s="37" t="s">
        <v>48</v>
      </c>
      <c r="C18" s="38" t="s">
        <v>49</v>
      </c>
      <c r="D18" s="39" t="s">
        <v>15</v>
      </c>
      <c r="E18" s="40">
        <v>187.5</v>
      </c>
      <c r="F18" s="39">
        <v>640.0</v>
      </c>
      <c r="G18" s="40">
        <f t="shared" ref="G18:G24" si="2">E18*F18</f>
        <v>120000</v>
      </c>
      <c r="H18" s="40"/>
      <c r="I18" s="68"/>
      <c r="J18" s="69">
        <f>J17</f>
        <v>199375</v>
      </c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>
      <c r="A19" s="42"/>
      <c r="B19" s="43" t="s">
        <v>50</v>
      </c>
      <c r="C19" s="44" t="s">
        <v>51</v>
      </c>
      <c r="D19" s="45" t="s">
        <v>18</v>
      </c>
      <c r="E19" s="46">
        <v>162.5</v>
      </c>
      <c r="F19" s="45">
        <v>80.0</v>
      </c>
      <c r="G19" s="46">
        <f t="shared" si="2"/>
        <v>13000</v>
      </c>
      <c r="H19" s="46"/>
      <c r="I19" s="41"/>
      <c r="J19" s="4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42"/>
      <c r="B20" s="43" t="s">
        <v>52</v>
      </c>
      <c r="C20" s="70" t="s">
        <v>53</v>
      </c>
      <c r="D20" s="45" t="s">
        <v>18</v>
      </c>
      <c r="E20" s="46">
        <v>162.5</v>
      </c>
      <c r="F20" s="45">
        <v>120.0</v>
      </c>
      <c r="G20" s="46">
        <f t="shared" si="2"/>
        <v>19500</v>
      </c>
      <c r="H20" s="46"/>
      <c r="I20" s="41"/>
      <c r="J20" s="4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42"/>
      <c r="B21" s="43" t="s">
        <v>54</v>
      </c>
      <c r="C21" s="70" t="s">
        <v>55</v>
      </c>
      <c r="D21" s="45" t="s">
        <v>56</v>
      </c>
      <c r="E21" s="46">
        <v>162.5</v>
      </c>
      <c r="F21" s="45">
        <v>80.0</v>
      </c>
      <c r="G21" s="46">
        <f t="shared" si="2"/>
        <v>13000</v>
      </c>
      <c r="H21" s="46"/>
      <c r="I21" s="41"/>
      <c r="J21" s="4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42"/>
      <c r="B22" s="43" t="s">
        <v>57</v>
      </c>
      <c r="C22" s="70" t="s">
        <v>58</v>
      </c>
      <c r="D22" s="45" t="s">
        <v>18</v>
      </c>
      <c r="E22" s="46">
        <v>162.5</v>
      </c>
      <c r="F22" s="45">
        <v>80.0</v>
      </c>
      <c r="G22" s="46">
        <f t="shared" si="2"/>
        <v>13000</v>
      </c>
      <c r="H22" s="46"/>
      <c r="I22" s="41"/>
      <c r="J22" s="4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42"/>
      <c r="B23" s="43" t="s">
        <v>59</v>
      </c>
      <c r="C23" s="70" t="s">
        <v>60</v>
      </c>
      <c r="D23" s="45" t="s">
        <v>61</v>
      </c>
      <c r="E23" s="46">
        <v>162.5</v>
      </c>
      <c r="F23" s="45">
        <v>120.0</v>
      </c>
      <c r="G23" s="46">
        <f t="shared" si="2"/>
        <v>19500</v>
      </c>
      <c r="H23" s="46"/>
      <c r="I23" s="41"/>
      <c r="J23" s="4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8.75" customHeight="1">
      <c r="A24" s="71"/>
      <c r="B24" s="50" t="s">
        <v>62</v>
      </c>
      <c r="C24" s="72" t="s">
        <v>63</v>
      </c>
      <c r="D24" s="52" t="s">
        <v>18</v>
      </c>
      <c r="E24" s="53">
        <v>137.5</v>
      </c>
      <c r="F24" s="52">
        <v>10.0</v>
      </c>
      <c r="G24" s="53">
        <f t="shared" si="2"/>
        <v>1375</v>
      </c>
      <c r="H24" s="53"/>
      <c r="I24" s="73"/>
      <c r="J24" s="74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 ht="30.0" customHeight="1">
      <c r="A25" s="75"/>
      <c r="B25" s="76">
        <v>3.0</v>
      </c>
      <c r="C25" s="60" t="s">
        <v>64</v>
      </c>
      <c r="D25" s="60"/>
      <c r="E25" s="61"/>
      <c r="F25" s="60"/>
      <c r="G25" s="62">
        <f t="shared" ref="G25:H25" si="3">SUM(G26:G64)</f>
        <v>286813.5</v>
      </c>
      <c r="H25" s="62">
        <f t="shared" si="3"/>
        <v>0</v>
      </c>
      <c r="I25" s="63" t="s">
        <v>47</v>
      </c>
      <c r="J25" s="64">
        <f>G25</f>
        <v>286813.5</v>
      </c>
      <c r="K25" s="65">
        <f>K17+J25</f>
        <v>684751</v>
      </c>
      <c r="L25" s="5">
        <f>SUM(L26:L64)</f>
        <v>29500</v>
      </c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ht="15.75" customHeight="1">
      <c r="A26" s="77"/>
      <c r="B26" s="78" t="s">
        <v>65</v>
      </c>
      <c r="C26" s="79" t="s">
        <v>66</v>
      </c>
      <c r="D26" s="79"/>
      <c r="E26" s="80">
        <f>SUM(G27:G36)</f>
        <v>128835.5</v>
      </c>
      <c r="F26" s="79"/>
      <c r="G26" s="79"/>
      <c r="H26" s="79"/>
      <c r="I26" s="68"/>
      <c r="J26" s="69">
        <f>J25</f>
        <v>286813.5</v>
      </c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ht="15.75" customHeight="1">
      <c r="A27" s="36"/>
      <c r="B27" s="45" t="s">
        <v>67</v>
      </c>
      <c r="C27" s="44" t="s">
        <v>68</v>
      </c>
      <c r="D27" s="45" t="s">
        <v>44</v>
      </c>
      <c r="E27" s="46">
        <v>162.5</v>
      </c>
      <c r="F27" s="45">
        <v>60.0</v>
      </c>
      <c r="G27" s="46">
        <f t="shared" ref="G27:G36" si="4">E27*F27</f>
        <v>9750</v>
      </c>
      <c r="H27" s="46"/>
      <c r="I27" s="41"/>
      <c r="J27" s="4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42"/>
      <c r="B28" s="45" t="s">
        <v>69</v>
      </c>
      <c r="C28" s="44" t="s">
        <v>70</v>
      </c>
      <c r="D28" s="45" t="s">
        <v>71</v>
      </c>
      <c r="E28" s="46">
        <v>162.5</v>
      </c>
      <c r="F28" s="45">
        <v>120.0</v>
      </c>
      <c r="G28" s="46">
        <f t="shared" si="4"/>
        <v>19500</v>
      </c>
      <c r="H28" s="46"/>
      <c r="I28" s="41"/>
      <c r="J28" s="4"/>
      <c r="K28" s="5"/>
      <c r="L28" s="5">
        <v>2000.0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42"/>
      <c r="B29" s="45" t="s">
        <v>72</v>
      </c>
      <c r="C29" s="44" t="s">
        <v>73</v>
      </c>
      <c r="D29" s="45" t="s">
        <v>18</v>
      </c>
      <c r="E29" s="46">
        <v>162.5</v>
      </c>
      <c r="F29" s="45">
        <v>180.0</v>
      </c>
      <c r="G29" s="46">
        <f t="shared" si="4"/>
        <v>29250</v>
      </c>
      <c r="H29" s="46"/>
      <c r="I29" s="41"/>
      <c r="J29" s="4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42"/>
      <c r="B30" s="45" t="s">
        <v>74</v>
      </c>
      <c r="C30" s="70" t="s">
        <v>53</v>
      </c>
      <c r="D30" s="45" t="s">
        <v>61</v>
      </c>
      <c r="E30" s="46">
        <v>162.5</v>
      </c>
      <c r="F30" s="45">
        <v>90.0</v>
      </c>
      <c r="G30" s="46">
        <f t="shared" si="4"/>
        <v>14625</v>
      </c>
      <c r="H30" s="46"/>
      <c r="I30" s="41"/>
      <c r="J30" s="4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42"/>
      <c r="B31" s="45" t="s">
        <v>75</v>
      </c>
      <c r="C31" s="44" t="s">
        <v>76</v>
      </c>
      <c r="D31" s="45" t="s">
        <v>61</v>
      </c>
      <c r="E31" s="46">
        <v>4606.0</v>
      </c>
      <c r="F31" s="45">
        <v>3.0</v>
      </c>
      <c r="G31" s="46">
        <f t="shared" si="4"/>
        <v>13818</v>
      </c>
      <c r="H31" s="46"/>
      <c r="I31" s="41"/>
      <c r="J31" s="4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42"/>
      <c r="B32" s="45" t="s">
        <v>77</v>
      </c>
      <c r="C32" s="70" t="s">
        <v>78</v>
      </c>
      <c r="D32" s="45" t="s">
        <v>79</v>
      </c>
      <c r="E32" s="81">
        <v>162.5</v>
      </c>
      <c r="F32" s="82">
        <v>80.0</v>
      </c>
      <c r="G32" s="81">
        <f t="shared" si="4"/>
        <v>13000</v>
      </c>
      <c r="H32" s="46"/>
      <c r="I32" s="41"/>
      <c r="J32" s="4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42"/>
      <c r="B33" s="45" t="s">
        <v>80</v>
      </c>
      <c r="C33" s="70" t="s">
        <v>81</v>
      </c>
      <c r="D33" s="45" t="s">
        <v>82</v>
      </c>
      <c r="E33" s="46">
        <v>2353.75</v>
      </c>
      <c r="F33" s="45">
        <v>3.0</v>
      </c>
      <c r="G33" s="46">
        <f t="shared" si="4"/>
        <v>7061.25</v>
      </c>
      <c r="H33" s="46"/>
      <c r="I33" s="41"/>
      <c r="J33" s="4"/>
      <c r="K33" s="5"/>
      <c r="L33" s="5">
        <v>3000.0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42"/>
      <c r="B34" s="45" t="s">
        <v>83</v>
      </c>
      <c r="C34" s="70" t="s">
        <v>84</v>
      </c>
      <c r="D34" s="45" t="s">
        <v>44</v>
      </c>
      <c r="E34" s="46">
        <v>16556.25</v>
      </c>
      <c r="F34" s="45">
        <v>1.0</v>
      </c>
      <c r="G34" s="46">
        <f t="shared" si="4"/>
        <v>16556.25</v>
      </c>
      <c r="H34" s="46"/>
      <c r="I34" s="41"/>
      <c r="J34" s="4"/>
      <c r="K34" s="5"/>
      <c r="L34" s="5">
        <v>5000.0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42"/>
      <c r="B35" s="45" t="s">
        <v>85</v>
      </c>
      <c r="C35" s="70" t="s">
        <v>86</v>
      </c>
      <c r="D35" s="45" t="s">
        <v>44</v>
      </c>
      <c r="E35" s="81">
        <v>162.5</v>
      </c>
      <c r="F35" s="45">
        <v>24.0</v>
      </c>
      <c r="G35" s="46">
        <f t="shared" si="4"/>
        <v>3900</v>
      </c>
      <c r="H35" s="46"/>
      <c r="I35" s="41"/>
      <c r="J35" s="4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42"/>
      <c r="B36" s="45" t="s">
        <v>87</v>
      </c>
      <c r="C36" s="70" t="s">
        <v>88</v>
      </c>
      <c r="D36" s="45" t="s">
        <v>44</v>
      </c>
      <c r="E36" s="46">
        <v>137.5</v>
      </c>
      <c r="F36" s="45">
        <v>10.0</v>
      </c>
      <c r="G36" s="46">
        <f t="shared" si="4"/>
        <v>1375</v>
      </c>
      <c r="H36" s="46"/>
      <c r="I36" s="41"/>
      <c r="J36" s="4"/>
      <c r="K36" s="5"/>
      <c r="L36" s="83"/>
      <c r="M36" s="12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42"/>
      <c r="B37" s="84" t="s">
        <v>89</v>
      </c>
      <c r="C37" s="85" t="s">
        <v>90</v>
      </c>
      <c r="D37" s="86"/>
      <c r="E37" s="87">
        <f>SUM(G38:G45)</f>
        <v>68650</v>
      </c>
      <c r="F37" s="86"/>
      <c r="G37" s="86"/>
      <c r="H37" s="88"/>
      <c r="I37" s="41"/>
      <c r="J37" s="4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42"/>
      <c r="B38" s="45" t="s">
        <v>91</v>
      </c>
      <c r="C38" s="44" t="s">
        <v>92</v>
      </c>
      <c r="D38" s="45" t="s">
        <v>93</v>
      </c>
      <c r="E38" s="46">
        <v>162.5</v>
      </c>
      <c r="F38" s="45">
        <v>120.0</v>
      </c>
      <c r="G38" s="46">
        <f t="shared" ref="G38:G45" si="5">E38*F38</f>
        <v>19500</v>
      </c>
      <c r="H38" s="46"/>
      <c r="I38" s="41"/>
      <c r="J38" s="4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42"/>
      <c r="B39" s="45" t="s">
        <v>94</v>
      </c>
      <c r="C39" s="44" t="s">
        <v>95</v>
      </c>
      <c r="D39" s="45" t="s">
        <v>96</v>
      </c>
      <c r="E39" s="46">
        <v>162.5</v>
      </c>
      <c r="F39" s="45">
        <v>40.0</v>
      </c>
      <c r="G39" s="46">
        <f t="shared" si="5"/>
        <v>6500</v>
      </c>
      <c r="H39" s="46"/>
      <c r="I39" s="41"/>
      <c r="J39" s="4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42"/>
      <c r="B40" s="45" t="s">
        <v>97</v>
      </c>
      <c r="C40" s="44" t="s">
        <v>98</v>
      </c>
      <c r="D40" s="45" t="s">
        <v>18</v>
      </c>
      <c r="E40" s="46">
        <v>162.5</v>
      </c>
      <c r="F40" s="45">
        <v>60.0</v>
      </c>
      <c r="G40" s="46">
        <f t="shared" si="5"/>
        <v>9750</v>
      </c>
      <c r="H40" s="46"/>
      <c r="I40" s="41"/>
      <c r="J40" s="4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42"/>
      <c r="B41" s="45" t="s">
        <v>99</v>
      </c>
      <c r="C41" s="44" t="s">
        <v>100</v>
      </c>
      <c r="D41" s="45" t="s">
        <v>18</v>
      </c>
      <c r="E41" s="46">
        <v>162.5</v>
      </c>
      <c r="F41" s="45">
        <v>60.0</v>
      </c>
      <c r="G41" s="46">
        <f t="shared" si="5"/>
        <v>9750</v>
      </c>
      <c r="H41" s="46"/>
      <c r="I41" s="41"/>
      <c r="J41" s="4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42"/>
      <c r="B42" s="45" t="s">
        <v>101</v>
      </c>
      <c r="C42" s="70" t="s">
        <v>53</v>
      </c>
      <c r="D42" s="45" t="s">
        <v>61</v>
      </c>
      <c r="E42" s="46">
        <v>162.5</v>
      </c>
      <c r="F42" s="45">
        <v>70.0</v>
      </c>
      <c r="G42" s="46">
        <f t="shared" si="5"/>
        <v>11375</v>
      </c>
      <c r="H42" s="46"/>
      <c r="I42" s="41"/>
      <c r="J42" s="4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42"/>
      <c r="B43" s="45" t="s">
        <v>102</v>
      </c>
      <c r="C43" s="70" t="s">
        <v>103</v>
      </c>
      <c r="D43" s="45" t="s">
        <v>18</v>
      </c>
      <c r="E43" s="46">
        <v>162.5</v>
      </c>
      <c r="F43" s="45">
        <v>40.0</v>
      </c>
      <c r="G43" s="46">
        <f t="shared" si="5"/>
        <v>6500</v>
      </c>
      <c r="H43" s="46"/>
      <c r="I43" s="41"/>
      <c r="J43" s="4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42"/>
      <c r="B44" s="45" t="s">
        <v>104</v>
      </c>
      <c r="C44" s="70" t="s">
        <v>105</v>
      </c>
      <c r="D44" s="45" t="s">
        <v>18</v>
      </c>
      <c r="E44" s="46">
        <v>162.5</v>
      </c>
      <c r="F44" s="45">
        <v>24.0</v>
      </c>
      <c r="G44" s="46">
        <f t="shared" si="5"/>
        <v>3900</v>
      </c>
      <c r="H44" s="46"/>
      <c r="I44" s="41"/>
      <c r="J44" s="4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42"/>
      <c r="B45" s="45" t="s">
        <v>106</v>
      </c>
      <c r="C45" s="70" t="s">
        <v>88</v>
      </c>
      <c r="D45" s="45" t="s">
        <v>44</v>
      </c>
      <c r="E45" s="46">
        <v>137.5</v>
      </c>
      <c r="F45" s="45">
        <v>10.0</v>
      </c>
      <c r="G45" s="46">
        <f t="shared" si="5"/>
        <v>1375</v>
      </c>
      <c r="H45" s="46"/>
      <c r="I45" s="41"/>
      <c r="J45" s="4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42"/>
      <c r="B46" s="84" t="s">
        <v>107</v>
      </c>
      <c r="C46" s="85" t="s">
        <v>108</v>
      </c>
      <c r="D46" s="84"/>
      <c r="E46" s="87">
        <f>SUM(G47:G53)</f>
        <v>41350</v>
      </c>
      <c r="F46" s="84"/>
      <c r="G46" s="84"/>
      <c r="H46" s="87"/>
      <c r="I46" s="41"/>
      <c r="J46" s="4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42"/>
      <c r="B47" s="45" t="s">
        <v>109</v>
      </c>
      <c r="C47" s="44" t="s">
        <v>110</v>
      </c>
      <c r="D47" s="45" t="s">
        <v>18</v>
      </c>
      <c r="E47" s="46">
        <v>162.5</v>
      </c>
      <c r="F47" s="45">
        <v>80.0</v>
      </c>
      <c r="G47" s="46">
        <f t="shared" ref="G47:G53" si="6">E47*F47</f>
        <v>13000</v>
      </c>
      <c r="H47" s="46"/>
      <c r="I47" s="41"/>
      <c r="J47" s="4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42"/>
      <c r="B48" s="45" t="s">
        <v>111</v>
      </c>
      <c r="C48" s="70" t="s">
        <v>53</v>
      </c>
      <c r="D48" s="45" t="s">
        <v>61</v>
      </c>
      <c r="E48" s="46">
        <v>162.5</v>
      </c>
      <c r="F48" s="45">
        <v>30.0</v>
      </c>
      <c r="G48" s="46">
        <f t="shared" si="6"/>
        <v>4875</v>
      </c>
      <c r="H48" s="46"/>
      <c r="I48" s="41"/>
      <c r="J48" s="4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42"/>
      <c r="B49" s="45" t="s">
        <v>112</v>
      </c>
      <c r="C49" s="44" t="s">
        <v>113</v>
      </c>
      <c r="D49" s="45" t="s">
        <v>18</v>
      </c>
      <c r="E49" s="46">
        <v>162.5</v>
      </c>
      <c r="F49" s="45">
        <v>40.0</v>
      </c>
      <c r="G49" s="46">
        <f t="shared" si="6"/>
        <v>6500</v>
      </c>
      <c r="H49" s="46"/>
      <c r="I49" s="41"/>
      <c r="J49" s="4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42"/>
      <c r="B50" s="45" t="s">
        <v>114</v>
      </c>
      <c r="C50" s="44" t="s">
        <v>115</v>
      </c>
      <c r="D50" s="45" t="s">
        <v>18</v>
      </c>
      <c r="E50" s="46">
        <v>162.5</v>
      </c>
      <c r="F50" s="45">
        <v>40.0</v>
      </c>
      <c r="G50" s="46">
        <f t="shared" si="6"/>
        <v>6500</v>
      </c>
      <c r="H50" s="46"/>
      <c r="I50" s="41"/>
      <c r="J50" s="4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42"/>
      <c r="B51" s="45" t="s">
        <v>116</v>
      </c>
      <c r="C51" s="70" t="s">
        <v>117</v>
      </c>
      <c r="D51" s="45" t="s">
        <v>18</v>
      </c>
      <c r="E51" s="46">
        <v>162.5</v>
      </c>
      <c r="F51" s="45">
        <v>40.0</v>
      </c>
      <c r="G51" s="46">
        <f t="shared" si="6"/>
        <v>6500</v>
      </c>
      <c r="H51" s="46"/>
      <c r="I51" s="41"/>
      <c r="J51" s="4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42"/>
      <c r="B52" s="45" t="s">
        <v>118</v>
      </c>
      <c r="C52" s="70" t="s">
        <v>105</v>
      </c>
      <c r="D52" s="45" t="s">
        <v>18</v>
      </c>
      <c r="E52" s="46">
        <v>162.5</v>
      </c>
      <c r="F52" s="45">
        <v>16.0</v>
      </c>
      <c r="G52" s="46">
        <f t="shared" si="6"/>
        <v>2600</v>
      </c>
      <c r="H52" s="46"/>
      <c r="I52" s="41"/>
      <c r="J52" s="4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42"/>
      <c r="B53" s="45" t="s">
        <v>119</v>
      </c>
      <c r="C53" s="70" t="s">
        <v>88</v>
      </c>
      <c r="D53" s="45" t="s">
        <v>120</v>
      </c>
      <c r="E53" s="46">
        <v>137.5</v>
      </c>
      <c r="F53" s="45">
        <v>10.0</v>
      </c>
      <c r="G53" s="46">
        <f t="shared" si="6"/>
        <v>1375</v>
      </c>
      <c r="H53" s="46"/>
      <c r="I53" s="41"/>
      <c r="J53" s="4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42"/>
      <c r="B54" s="84" t="s">
        <v>121</v>
      </c>
      <c r="C54" s="85" t="s">
        <v>122</v>
      </c>
      <c r="D54" s="84"/>
      <c r="E54" s="87">
        <f>SUM(G55:G60)</f>
        <v>21978</v>
      </c>
      <c r="F54" s="84"/>
      <c r="G54" s="84"/>
      <c r="H54" s="87"/>
      <c r="I54" s="41"/>
      <c r="J54" s="4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2"/>
      <c r="B55" s="45" t="s">
        <v>123</v>
      </c>
      <c r="C55" s="44" t="s">
        <v>124</v>
      </c>
      <c r="D55" s="45" t="s">
        <v>44</v>
      </c>
      <c r="E55" s="46">
        <v>162.5</v>
      </c>
      <c r="F55" s="45">
        <v>20.0</v>
      </c>
      <c r="G55" s="46">
        <f t="shared" ref="G55:G60" si="7">E55*F55</f>
        <v>3250</v>
      </c>
      <c r="H55" s="46"/>
      <c r="I55" s="41"/>
      <c r="J55" s="4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2"/>
      <c r="B56" s="45" t="s">
        <v>125</v>
      </c>
      <c r="C56" s="44" t="s">
        <v>126</v>
      </c>
      <c r="D56" s="45" t="s">
        <v>18</v>
      </c>
      <c r="E56" s="46">
        <v>162.5</v>
      </c>
      <c r="F56" s="45">
        <v>40.0</v>
      </c>
      <c r="G56" s="46">
        <f t="shared" si="7"/>
        <v>6500</v>
      </c>
      <c r="H56" s="46"/>
      <c r="I56" s="41"/>
      <c r="J56" s="4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42"/>
      <c r="B57" s="45" t="s">
        <v>127</v>
      </c>
      <c r="C57" s="44" t="s">
        <v>128</v>
      </c>
      <c r="D57" s="45" t="s">
        <v>18</v>
      </c>
      <c r="E57" s="46">
        <v>2403.0</v>
      </c>
      <c r="F57" s="45">
        <v>1.0</v>
      </c>
      <c r="G57" s="46">
        <f t="shared" si="7"/>
        <v>2403</v>
      </c>
      <c r="H57" s="46"/>
      <c r="I57" s="41"/>
      <c r="J57" s="4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42"/>
      <c r="B58" s="45" t="s">
        <v>129</v>
      </c>
      <c r="C58" s="70" t="s">
        <v>117</v>
      </c>
      <c r="D58" s="45" t="s">
        <v>18</v>
      </c>
      <c r="E58" s="46">
        <v>162.5</v>
      </c>
      <c r="F58" s="45">
        <v>40.0</v>
      </c>
      <c r="G58" s="46">
        <f t="shared" si="7"/>
        <v>6500</v>
      </c>
      <c r="H58" s="46"/>
      <c r="I58" s="41"/>
      <c r="J58" s="4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42"/>
      <c r="B59" s="45" t="s">
        <v>130</v>
      </c>
      <c r="C59" s="70" t="s">
        <v>105</v>
      </c>
      <c r="D59" s="45" t="s">
        <v>18</v>
      </c>
      <c r="E59" s="46">
        <v>162.5</v>
      </c>
      <c r="F59" s="45">
        <v>12.0</v>
      </c>
      <c r="G59" s="46">
        <f t="shared" si="7"/>
        <v>1950</v>
      </c>
      <c r="H59" s="46"/>
      <c r="I59" s="41"/>
      <c r="J59" s="4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42"/>
      <c r="B60" s="45" t="s">
        <v>131</v>
      </c>
      <c r="C60" s="70" t="s">
        <v>132</v>
      </c>
      <c r="D60" s="45" t="s">
        <v>133</v>
      </c>
      <c r="E60" s="46">
        <v>137.5</v>
      </c>
      <c r="F60" s="45">
        <v>10.0</v>
      </c>
      <c r="G60" s="46">
        <f t="shared" si="7"/>
        <v>1375</v>
      </c>
      <c r="H60" s="46"/>
      <c r="I60" s="41"/>
      <c r="J60" s="4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42"/>
      <c r="B61" s="84" t="s">
        <v>134</v>
      </c>
      <c r="C61" s="85" t="s">
        <v>135</v>
      </c>
      <c r="D61" s="84"/>
      <c r="E61" s="87">
        <f>G62</f>
        <v>19500</v>
      </c>
      <c r="F61" s="84"/>
      <c r="G61" s="84"/>
      <c r="H61" s="87"/>
      <c r="I61" s="41"/>
      <c r="J61" s="4"/>
      <c r="K61" s="5"/>
      <c r="L61" s="5">
        <v>19500.0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22.5" customHeight="1">
      <c r="A62" s="42"/>
      <c r="B62" s="45" t="s">
        <v>136</v>
      </c>
      <c r="C62" s="44" t="s">
        <v>137</v>
      </c>
      <c r="D62" s="45" t="s">
        <v>18</v>
      </c>
      <c r="E62" s="46">
        <v>162.5</v>
      </c>
      <c r="F62" s="45">
        <v>120.0</v>
      </c>
      <c r="G62" s="46">
        <f>E62*F62</f>
        <v>19500</v>
      </c>
      <c r="H62" s="46"/>
      <c r="I62" s="41"/>
      <c r="J62" s="4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42"/>
      <c r="B63" s="84" t="s">
        <v>138</v>
      </c>
      <c r="C63" s="85" t="s">
        <v>139</v>
      </c>
      <c r="D63" s="84"/>
      <c r="E63" s="87">
        <f>G64</f>
        <v>6500</v>
      </c>
      <c r="F63" s="84"/>
      <c r="G63" s="84"/>
      <c r="H63" s="87"/>
      <c r="I63" s="41"/>
      <c r="J63" s="4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"/>
      <c r="B64" s="52" t="s">
        <v>140</v>
      </c>
      <c r="C64" s="89" t="s">
        <v>141</v>
      </c>
      <c r="D64" s="52" t="s">
        <v>44</v>
      </c>
      <c r="E64" s="53">
        <v>162.5</v>
      </c>
      <c r="F64" s="52">
        <v>40.0</v>
      </c>
      <c r="G64" s="53">
        <f>E64*F64</f>
        <v>6500</v>
      </c>
      <c r="H64" s="53"/>
      <c r="I64" s="73"/>
      <c r="J64" s="74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 ht="24.75" customHeight="1">
      <c r="A65" s="58"/>
      <c r="B65" s="59">
        <v>4.0</v>
      </c>
      <c r="C65" s="60" t="s">
        <v>142</v>
      </c>
      <c r="D65" s="60"/>
      <c r="E65" s="61"/>
      <c r="F65" s="60"/>
      <c r="G65" s="62">
        <f t="shared" ref="G65:H65" si="8">SUM(G66:G72)</f>
        <v>41943.75</v>
      </c>
      <c r="H65" s="62">
        <f t="shared" si="8"/>
        <v>0</v>
      </c>
      <c r="I65" s="63" t="s">
        <v>47</v>
      </c>
      <c r="J65" s="64">
        <f>G65</f>
        <v>41943.75</v>
      </c>
      <c r="K65" s="65">
        <f>K25+J65</f>
        <v>726694.75</v>
      </c>
      <c r="L65" s="67">
        <v>30000.0</v>
      </c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 ht="15.75" customHeight="1">
      <c r="A66" s="36"/>
      <c r="B66" s="39" t="s">
        <v>143</v>
      </c>
      <c r="C66" s="38" t="s">
        <v>144</v>
      </c>
      <c r="D66" s="39" t="s">
        <v>145</v>
      </c>
      <c r="E66" s="40">
        <v>162.5</v>
      </c>
      <c r="F66" s="39">
        <v>55.0</v>
      </c>
      <c r="G66" s="40">
        <f t="shared" ref="G66:G72" si="9">E66*F66</f>
        <v>8937.5</v>
      </c>
      <c r="H66" s="40"/>
      <c r="I66" s="68"/>
      <c r="J66" s="69">
        <f>J65</f>
        <v>41943.75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ht="15.75" customHeight="1">
      <c r="A67" s="42"/>
      <c r="B67" s="45" t="s">
        <v>146</v>
      </c>
      <c r="C67" s="44" t="s">
        <v>147</v>
      </c>
      <c r="D67" s="45" t="s">
        <v>148</v>
      </c>
      <c r="E67" s="46">
        <v>162.5</v>
      </c>
      <c r="F67" s="45">
        <v>38.0</v>
      </c>
      <c r="G67" s="46">
        <f t="shared" si="9"/>
        <v>6175</v>
      </c>
      <c r="H67" s="46"/>
      <c r="I67" s="41"/>
      <c r="J67" s="4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42"/>
      <c r="B68" s="45" t="s">
        <v>149</v>
      </c>
      <c r="C68" s="44" t="s">
        <v>150</v>
      </c>
      <c r="D68" s="45" t="s">
        <v>151</v>
      </c>
      <c r="E68" s="46">
        <v>162.5</v>
      </c>
      <c r="F68" s="45">
        <v>20.0</v>
      </c>
      <c r="G68" s="46">
        <f t="shared" si="9"/>
        <v>3250</v>
      </c>
      <c r="H68" s="46"/>
      <c r="I68" s="41"/>
      <c r="J68" s="4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42"/>
      <c r="B69" s="45" t="s">
        <v>152</v>
      </c>
      <c r="C69" s="44" t="s">
        <v>153</v>
      </c>
      <c r="D69" s="45" t="s">
        <v>151</v>
      </c>
      <c r="E69" s="46">
        <v>162.5</v>
      </c>
      <c r="F69" s="45">
        <v>80.0</v>
      </c>
      <c r="G69" s="46">
        <f t="shared" si="9"/>
        <v>13000</v>
      </c>
      <c r="H69" s="46"/>
      <c r="I69" s="41"/>
      <c r="J69" s="4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27.0" customHeight="1">
      <c r="A70" s="42"/>
      <c r="B70" s="45" t="s">
        <v>154</v>
      </c>
      <c r="C70" s="90" t="s">
        <v>155</v>
      </c>
      <c r="D70" s="45" t="s">
        <v>156</v>
      </c>
      <c r="E70" s="46">
        <v>5956.25</v>
      </c>
      <c r="F70" s="45">
        <v>1.0</v>
      </c>
      <c r="G70" s="46">
        <f t="shared" si="9"/>
        <v>5956.25</v>
      </c>
      <c r="H70" s="46"/>
      <c r="I70" s="41"/>
      <c r="J70" s="4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42"/>
      <c r="B71" s="45" t="s">
        <v>157</v>
      </c>
      <c r="C71" s="44" t="s">
        <v>158</v>
      </c>
      <c r="D71" s="45" t="s">
        <v>151</v>
      </c>
      <c r="E71" s="46">
        <v>162.5</v>
      </c>
      <c r="F71" s="45">
        <v>20.0</v>
      </c>
      <c r="G71" s="46">
        <f t="shared" si="9"/>
        <v>3250</v>
      </c>
      <c r="H71" s="46"/>
      <c r="I71" s="41"/>
      <c r="J71" s="4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"/>
      <c r="B72" s="52" t="s">
        <v>159</v>
      </c>
      <c r="C72" s="51" t="s">
        <v>88</v>
      </c>
      <c r="D72" s="52" t="s">
        <v>44</v>
      </c>
      <c r="E72" s="53">
        <v>137.5</v>
      </c>
      <c r="F72" s="52">
        <v>10.0</v>
      </c>
      <c r="G72" s="53">
        <f t="shared" si="9"/>
        <v>1375</v>
      </c>
      <c r="H72" s="53"/>
      <c r="I72" s="73"/>
      <c r="J72" s="74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ht="21.75" customHeight="1">
      <c r="A73" s="58"/>
      <c r="B73" s="59">
        <v>5.0</v>
      </c>
      <c r="C73" s="60" t="s">
        <v>160</v>
      </c>
      <c r="D73" s="60"/>
      <c r="E73" s="61"/>
      <c r="F73" s="60"/>
      <c r="G73" s="62">
        <f t="shared" ref="G73:H73" si="10">SUM(G74:G92)</f>
        <v>114067.5</v>
      </c>
      <c r="H73" s="62">
        <f t="shared" si="10"/>
        <v>0</v>
      </c>
      <c r="I73" s="63" t="s">
        <v>47</v>
      </c>
      <c r="J73" s="64">
        <f>G73</f>
        <v>114067.5</v>
      </c>
      <c r="K73" s="65">
        <f>K65+J73</f>
        <v>840762.25</v>
      </c>
      <c r="L73" s="5">
        <f>SUM(L74:L92)</f>
        <v>72200</v>
      </c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 ht="15.75" customHeight="1">
      <c r="A74" s="36"/>
      <c r="B74" s="39" t="s">
        <v>161</v>
      </c>
      <c r="C74" s="38" t="s">
        <v>162</v>
      </c>
      <c r="D74" s="39" t="s">
        <v>163</v>
      </c>
      <c r="E74" s="91">
        <v>12087.5</v>
      </c>
      <c r="F74" s="39">
        <v>1.0</v>
      </c>
      <c r="G74" s="40">
        <f t="shared" ref="G74:G92" si="11">E74*F74</f>
        <v>12087.5</v>
      </c>
      <c r="H74" s="40"/>
      <c r="I74" s="68"/>
      <c r="J74" s="92">
        <f>J73</f>
        <v>114067.5</v>
      </c>
      <c r="K74" s="66"/>
      <c r="L74" s="66"/>
      <c r="M74" s="66">
        <v>8000.0</v>
      </c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ht="15.75" customHeight="1">
      <c r="A75" s="42"/>
      <c r="B75" s="45" t="s">
        <v>164</v>
      </c>
      <c r="C75" s="44" t="s">
        <v>165</v>
      </c>
      <c r="D75" s="45" t="s">
        <v>163</v>
      </c>
      <c r="E75" s="46">
        <v>25276.25</v>
      </c>
      <c r="F75" s="45">
        <v>1.0</v>
      </c>
      <c r="G75" s="46">
        <f t="shared" si="11"/>
        <v>25276.25</v>
      </c>
      <c r="H75" s="46"/>
      <c r="I75" s="41"/>
      <c r="J75" s="4"/>
      <c r="K75" s="5"/>
      <c r="L75" s="5">
        <v>20000.0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42"/>
      <c r="B76" s="45" t="s">
        <v>166</v>
      </c>
      <c r="C76" s="44" t="s">
        <v>167</v>
      </c>
      <c r="D76" s="45" t="s">
        <v>168</v>
      </c>
      <c r="E76" s="46">
        <v>3116.25</v>
      </c>
      <c r="F76" s="45">
        <v>1.0</v>
      </c>
      <c r="G76" s="46">
        <f t="shared" si="11"/>
        <v>3116.25</v>
      </c>
      <c r="H76" s="46"/>
      <c r="I76" s="41"/>
      <c r="J76" s="11"/>
      <c r="K76" s="5"/>
      <c r="L76" s="5">
        <v>2000.0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2"/>
      <c r="B77" s="45" t="s">
        <v>169</v>
      </c>
      <c r="C77" s="44" t="s">
        <v>170</v>
      </c>
      <c r="D77" s="45" t="s">
        <v>163</v>
      </c>
      <c r="E77" s="46">
        <v>9177.5</v>
      </c>
      <c r="F77" s="45">
        <v>1.0</v>
      </c>
      <c r="G77" s="46">
        <f t="shared" si="11"/>
        <v>9177.5</v>
      </c>
      <c r="H77" s="46"/>
      <c r="I77" s="41"/>
      <c r="J77" s="11"/>
      <c r="K77" s="5"/>
      <c r="L77" s="5">
        <v>10000.0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42"/>
      <c r="B78" s="45" t="s">
        <v>171</v>
      </c>
      <c r="C78" s="44" t="s">
        <v>172</v>
      </c>
      <c r="D78" s="45" t="s">
        <v>61</v>
      </c>
      <c r="E78" s="46">
        <v>5073.75</v>
      </c>
      <c r="F78" s="93">
        <v>1.0</v>
      </c>
      <c r="G78" s="46">
        <f t="shared" si="11"/>
        <v>5073.75</v>
      </c>
      <c r="H78" s="94"/>
      <c r="I78" s="41"/>
      <c r="J78" s="11"/>
      <c r="K78" s="5"/>
      <c r="L78" s="5">
        <v>5000.0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42"/>
      <c r="B79" s="45" t="s">
        <v>173</v>
      </c>
      <c r="C79" s="44" t="s">
        <v>174</v>
      </c>
      <c r="D79" s="45" t="s">
        <v>175</v>
      </c>
      <c r="E79" s="46">
        <v>15553.75</v>
      </c>
      <c r="F79" s="45">
        <v>1.0</v>
      </c>
      <c r="G79" s="46">
        <f t="shared" si="11"/>
        <v>15553.75</v>
      </c>
      <c r="H79" s="46"/>
      <c r="I79" s="41"/>
      <c r="J79" s="11"/>
      <c r="K79" s="5"/>
      <c r="L79" s="5">
        <v>10000.0</v>
      </c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42"/>
      <c r="B80" s="45" t="s">
        <v>176</v>
      </c>
      <c r="C80" s="44" t="s">
        <v>177</v>
      </c>
      <c r="D80" s="45" t="s">
        <v>178</v>
      </c>
      <c r="E80" s="46">
        <v>7230.0</v>
      </c>
      <c r="F80" s="45">
        <v>1.0</v>
      </c>
      <c r="G80" s="46">
        <f t="shared" si="11"/>
        <v>7230</v>
      </c>
      <c r="H80" s="46"/>
      <c r="I80" s="41"/>
      <c r="J80" s="11"/>
      <c r="K80" s="5"/>
      <c r="L80" s="5">
        <v>5000.0</v>
      </c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42"/>
      <c r="B81" s="45" t="s">
        <v>179</v>
      </c>
      <c r="C81" s="44" t="s">
        <v>180</v>
      </c>
      <c r="D81" s="45" t="s">
        <v>181</v>
      </c>
      <c r="E81" s="46">
        <v>1688.75</v>
      </c>
      <c r="F81" s="45">
        <v>1.0</v>
      </c>
      <c r="G81" s="46">
        <f t="shared" si="11"/>
        <v>1688.75</v>
      </c>
      <c r="H81" s="46"/>
      <c r="I81" s="41"/>
      <c r="J81" s="11"/>
      <c r="K81" s="5"/>
      <c r="L81" s="5">
        <v>1600.0</v>
      </c>
      <c r="M81" s="9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42"/>
      <c r="B82" s="45" t="s">
        <v>182</v>
      </c>
      <c r="C82" s="44" t="s">
        <v>183</v>
      </c>
      <c r="D82" s="45" t="s">
        <v>184</v>
      </c>
      <c r="E82" s="46">
        <v>3587.5</v>
      </c>
      <c r="F82" s="93">
        <v>1.0</v>
      </c>
      <c r="G82" s="46">
        <f t="shared" si="11"/>
        <v>3587.5</v>
      </c>
      <c r="H82" s="94"/>
      <c r="I82" s="41"/>
      <c r="J82" s="11"/>
      <c r="K82" s="5"/>
      <c r="L82" s="5">
        <v>3500.0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42"/>
      <c r="B83" s="45" t="s">
        <v>185</v>
      </c>
      <c r="C83" s="44" t="s">
        <v>122</v>
      </c>
      <c r="D83" s="45" t="s">
        <v>184</v>
      </c>
      <c r="E83" s="46">
        <v>2371.25</v>
      </c>
      <c r="F83" s="93">
        <v>1.0</v>
      </c>
      <c r="G83" s="46">
        <f t="shared" si="11"/>
        <v>2371.25</v>
      </c>
      <c r="H83" s="94"/>
      <c r="I83" s="41"/>
      <c r="J83" s="11"/>
      <c r="K83" s="5"/>
      <c r="L83" s="5">
        <v>2500.0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42"/>
      <c r="B84" s="45" t="s">
        <v>186</v>
      </c>
      <c r="C84" s="44" t="s">
        <v>187</v>
      </c>
      <c r="D84" s="45" t="s">
        <v>188</v>
      </c>
      <c r="E84" s="46">
        <v>1618.75</v>
      </c>
      <c r="F84" s="45">
        <v>1.0</v>
      </c>
      <c r="G84" s="46">
        <f t="shared" si="11"/>
        <v>1618.75</v>
      </c>
      <c r="H84" s="46"/>
      <c r="I84" s="41"/>
      <c r="J84" s="11"/>
      <c r="K84" s="5"/>
      <c r="L84" s="5">
        <v>1600.0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42"/>
      <c r="B85" s="45" t="s">
        <v>189</v>
      </c>
      <c r="C85" s="44" t="s">
        <v>190</v>
      </c>
      <c r="D85" s="45" t="s">
        <v>168</v>
      </c>
      <c r="E85" s="46">
        <v>4695.0</v>
      </c>
      <c r="F85" s="45">
        <v>1.0</v>
      </c>
      <c r="G85" s="46">
        <f t="shared" si="11"/>
        <v>4695</v>
      </c>
      <c r="H85" s="46"/>
      <c r="I85" s="41"/>
      <c r="J85" s="11"/>
      <c r="K85" s="5"/>
      <c r="L85" s="5">
        <v>1000.0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42"/>
      <c r="B86" s="45" t="s">
        <v>191</v>
      </c>
      <c r="C86" s="44" t="s">
        <v>192</v>
      </c>
      <c r="D86" s="45" t="s">
        <v>193</v>
      </c>
      <c r="E86" s="46">
        <v>1635.0</v>
      </c>
      <c r="F86" s="45">
        <v>1.0</v>
      </c>
      <c r="G86" s="46">
        <f t="shared" si="11"/>
        <v>1635</v>
      </c>
      <c r="H86" s="46"/>
      <c r="I86" s="41"/>
      <c r="J86" s="11"/>
      <c r="K86" s="5"/>
      <c r="L86" s="5">
        <v>1500.0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42"/>
      <c r="B87" s="45" t="s">
        <v>194</v>
      </c>
      <c r="C87" s="44" t="s">
        <v>195</v>
      </c>
      <c r="D87" s="45" t="s">
        <v>44</v>
      </c>
      <c r="E87" s="46">
        <v>162.5</v>
      </c>
      <c r="F87" s="45">
        <v>32.0</v>
      </c>
      <c r="G87" s="46">
        <f t="shared" si="11"/>
        <v>5200</v>
      </c>
      <c r="H87" s="46"/>
      <c r="I87" s="41"/>
      <c r="J87" s="11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42"/>
      <c r="B88" s="45" t="s">
        <v>196</v>
      </c>
      <c r="C88" s="44" t="s">
        <v>197</v>
      </c>
      <c r="D88" s="45" t="s">
        <v>44</v>
      </c>
      <c r="E88" s="46">
        <v>162.5</v>
      </c>
      <c r="F88" s="45">
        <v>16.0</v>
      </c>
      <c r="G88" s="46">
        <f t="shared" si="11"/>
        <v>2600</v>
      </c>
      <c r="H88" s="46"/>
      <c r="I88" s="41"/>
      <c r="J88" s="11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8.75" customHeight="1">
      <c r="A89" s="42"/>
      <c r="B89" s="45" t="s">
        <v>198</v>
      </c>
      <c r="C89" s="44" t="s">
        <v>199</v>
      </c>
      <c r="D89" s="45" t="s">
        <v>44</v>
      </c>
      <c r="E89" s="46">
        <v>3863.75</v>
      </c>
      <c r="F89" s="45">
        <v>1.0</v>
      </c>
      <c r="G89" s="46">
        <f t="shared" si="11"/>
        <v>3863.75</v>
      </c>
      <c r="H89" s="46"/>
      <c r="I89" s="41"/>
      <c r="J89" s="11"/>
      <c r="K89" s="5"/>
      <c r="L89" s="5">
        <v>2000.0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42"/>
      <c r="B90" s="45" t="s">
        <v>200</v>
      </c>
      <c r="C90" s="44" t="s">
        <v>201</v>
      </c>
      <c r="D90" s="45" t="s">
        <v>202</v>
      </c>
      <c r="E90" s="46">
        <v>612.5</v>
      </c>
      <c r="F90" s="45">
        <v>2.0</v>
      </c>
      <c r="G90" s="46">
        <f t="shared" si="11"/>
        <v>1225</v>
      </c>
      <c r="H90" s="94"/>
      <c r="I90" s="41"/>
      <c r="J90" s="11"/>
      <c r="K90" s="5"/>
      <c r="L90" s="5">
        <v>1500.0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42"/>
      <c r="B91" s="45" t="s">
        <v>203</v>
      </c>
      <c r="C91" s="44" t="s">
        <v>204</v>
      </c>
      <c r="D91" s="45" t="s">
        <v>133</v>
      </c>
      <c r="E91" s="46">
        <f>E78+E84</f>
        <v>6692.5</v>
      </c>
      <c r="F91" s="45">
        <v>1.0</v>
      </c>
      <c r="G91" s="46">
        <f t="shared" si="11"/>
        <v>6692.5</v>
      </c>
      <c r="H91" s="94"/>
      <c r="I91" s="41"/>
      <c r="J91" s="11"/>
      <c r="K91" s="5"/>
      <c r="L91" s="5">
        <v>5000.0</v>
      </c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1"/>
      <c r="B92" s="52" t="s">
        <v>205</v>
      </c>
      <c r="C92" s="51" t="s">
        <v>88</v>
      </c>
      <c r="D92" s="52" t="s">
        <v>44</v>
      </c>
      <c r="E92" s="53">
        <v>137.5</v>
      </c>
      <c r="F92" s="52">
        <v>10.0</v>
      </c>
      <c r="G92" s="53">
        <f t="shared" si="11"/>
        <v>1375</v>
      </c>
      <c r="H92" s="53"/>
      <c r="I92" s="73"/>
      <c r="J92" s="56"/>
      <c r="K92" s="57"/>
      <c r="L92" s="57"/>
      <c r="M92" s="57"/>
      <c r="N92" s="96" t="s">
        <v>206</v>
      </c>
      <c r="O92" s="96" t="s">
        <v>207</v>
      </c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ht="27.0" customHeight="1">
      <c r="A93" s="97" t="s">
        <v>208</v>
      </c>
      <c r="B93" s="98"/>
      <c r="C93" s="99" t="s">
        <v>209</v>
      </c>
      <c r="D93" s="98"/>
      <c r="E93" s="100"/>
      <c r="F93" s="98"/>
      <c r="G93" s="101"/>
      <c r="H93" s="101">
        <f>G73+G65+G25+G17+G5</f>
        <v>840762.25</v>
      </c>
      <c r="I93" s="41"/>
      <c r="J93" s="4"/>
      <c r="K93" s="5"/>
      <c r="L93" s="57"/>
      <c r="M93" s="57"/>
      <c r="N93" s="102">
        <v>450000.0</v>
      </c>
      <c r="O93" s="103">
        <f>H93-N93</f>
        <v>390762.25</v>
      </c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 ht="21.75" customHeight="1">
      <c r="A94" s="104"/>
      <c r="B94" s="105">
        <v>6.0</v>
      </c>
      <c r="C94" s="30" t="s">
        <v>210</v>
      </c>
      <c r="D94" s="30"/>
      <c r="E94" s="31"/>
      <c r="F94" s="30"/>
      <c r="G94" s="32">
        <f t="shared" ref="G94:H94" si="12">SUM(G95:G98)</f>
        <v>78273.75</v>
      </c>
      <c r="H94" s="32">
        <f t="shared" si="12"/>
        <v>0</v>
      </c>
      <c r="I94" s="106" t="s">
        <v>211</v>
      </c>
      <c r="J94" s="107">
        <f>G94</f>
        <v>78273.75</v>
      </c>
      <c r="K94" s="108">
        <f>K73+J94</f>
        <v>919036</v>
      </c>
      <c r="L94" s="5">
        <f>SUM(L95:L98)</f>
        <v>15000</v>
      </c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 ht="15.75" customHeight="1">
      <c r="A95" s="36"/>
      <c r="B95" s="39" t="s">
        <v>212</v>
      </c>
      <c r="C95" s="38" t="s">
        <v>213</v>
      </c>
      <c r="D95" s="39" t="s">
        <v>214</v>
      </c>
      <c r="E95" s="40">
        <v>40388.75</v>
      </c>
      <c r="F95" s="39">
        <v>1.0</v>
      </c>
      <c r="G95" s="40">
        <f t="shared" ref="G95:G98" si="13">E95*F95</f>
        <v>40388.75</v>
      </c>
      <c r="H95" s="40"/>
      <c r="I95" s="68"/>
      <c r="J95" s="92">
        <f>J94</f>
        <v>78273.75</v>
      </c>
      <c r="K95" s="66"/>
      <c r="L95" s="66">
        <v>10000.0</v>
      </c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ht="28.5" customHeight="1">
      <c r="A96" s="42"/>
      <c r="B96" s="45" t="s">
        <v>215</v>
      </c>
      <c r="C96" s="44" t="s">
        <v>216</v>
      </c>
      <c r="D96" s="45" t="s">
        <v>44</v>
      </c>
      <c r="E96" s="46">
        <v>30822.5</v>
      </c>
      <c r="F96" s="45">
        <v>1.0</v>
      </c>
      <c r="G96" s="46">
        <f t="shared" si="13"/>
        <v>30822.5</v>
      </c>
      <c r="H96" s="46"/>
      <c r="I96" s="41"/>
      <c r="J96" s="11"/>
      <c r="K96" s="5"/>
      <c r="L96" s="5">
        <v>5000.0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42"/>
      <c r="B97" s="45" t="s">
        <v>217</v>
      </c>
      <c r="C97" s="44" t="s">
        <v>218</v>
      </c>
      <c r="D97" s="45" t="s">
        <v>44</v>
      </c>
      <c r="E97" s="46">
        <v>162.5</v>
      </c>
      <c r="F97" s="45">
        <v>35.0</v>
      </c>
      <c r="G97" s="46">
        <f t="shared" si="13"/>
        <v>5687.5</v>
      </c>
      <c r="H97" s="46"/>
      <c r="I97" s="41"/>
      <c r="J97" s="11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109"/>
      <c r="B98" s="52" t="s">
        <v>219</v>
      </c>
      <c r="C98" s="51" t="s">
        <v>88</v>
      </c>
      <c r="D98" s="52" t="s">
        <v>44</v>
      </c>
      <c r="E98" s="53">
        <v>137.5</v>
      </c>
      <c r="F98" s="52">
        <v>10.0</v>
      </c>
      <c r="G98" s="53">
        <f t="shared" si="13"/>
        <v>1375</v>
      </c>
      <c r="H98" s="53"/>
      <c r="I98" s="73"/>
      <c r="J98" s="56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ht="15.75" customHeight="1">
      <c r="A99" s="110"/>
      <c r="B99" s="111">
        <v>7.0</v>
      </c>
      <c r="C99" s="112" t="s">
        <v>220</v>
      </c>
      <c r="D99" s="112"/>
      <c r="E99" s="113"/>
      <c r="F99" s="112"/>
      <c r="G99" s="114">
        <f>G100</f>
        <v>131556</v>
      </c>
      <c r="H99" s="114">
        <f>SUM(H101)</f>
        <v>209829.75</v>
      </c>
      <c r="I99" s="115" t="s">
        <v>221</v>
      </c>
      <c r="J99" s="116">
        <f>G99</f>
        <v>131556</v>
      </c>
      <c r="K99" s="117">
        <f>K89+J99</f>
        <v>131556</v>
      </c>
      <c r="L99" s="57">
        <v>80000.0</v>
      </c>
      <c r="M99" s="118"/>
      <c r="N99" s="118"/>
      <c r="O99" s="118"/>
      <c r="P99" s="118"/>
      <c r="Q99" s="118"/>
      <c r="R99" s="118"/>
      <c r="S99" s="118"/>
      <c r="T99" s="57"/>
      <c r="U99" s="57"/>
      <c r="V99" s="57"/>
      <c r="W99" s="57"/>
      <c r="X99" s="57"/>
      <c r="Y99" s="57"/>
      <c r="Z99" s="57"/>
    </row>
    <row r="100" ht="15.75" customHeight="1">
      <c r="A100" s="119"/>
      <c r="B100" s="45" t="s">
        <v>222</v>
      </c>
      <c r="C100" s="120" t="s">
        <v>223</v>
      </c>
      <c r="D100" s="120"/>
      <c r="E100" s="121">
        <v>131556.0</v>
      </c>
      <c r="F100" s="122">
        <v>1.0</v>
      </c>
      <c r="G100" s="123">
        <f>E100*F100</f>
        <v>131556</v>
      </c>
      <c r="H100" s="121"/>
      <c r="I100" s="124"/>
      <c r="J100" s="125">
        <f>J99</f>
        <v>131556</v>
      </c>
      <c r="K100" s="126"/>
      <c r="L100" s="127"/>
      <c r="M100" s="57"/>
      <c r="N100" s="57"/>
      <c r="O100" s="96"/>
      <c r="P100" s="96"/>
      <c r="Q100" s="96"/>
      <c r="R100" s="96"/>
      <c r="S100" s="96"/>
      <c r="T100" s="57"/>
      <c r="U100" s="57"/>
      <c r="V100" s="57"/>
      <c r="W100" s="57"/>
      <c r="X100" s="57"/>
      <c r="Y100" s="57"/>
      <c r="Z100" s="57"/>
    </row>
    <row r="101" ht="30.0" customHeight="1">
      <c r="A101" s="97" t="s">
        <v>224</v>
      </c>
      <c r="B101" s="98"/>
      <c r="C101" s="99" t="s">
        <v>225</v>
      </c>
      <c r="D101" s="98"/>
      <c r="E101" s="100"/>
      <c r="F101" s="98"/>
      <c r="G101" s="101"/>
      <c r="H101" s="101">
        <f>SUM(G94,G99)</f>
        <v>209829.75</v>
      </c>
      <c r="I101" s="41"/>
      <c r="J101" s="4"/>
      <c r="K101" s="5"/>
      <c r="L101" s="57">
        <f>L99+L94+L73+L65+L25+L17+L5+L119</f>
        <v>354400</v>
      </c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 ht="24.0" customHeight="1">
      <c r="A102" s="128"/>
      <c r="B102" s="29">
        <v>8.0</v>
      </c>
      <c r="C102" s="30" t="s">
        <v>226</v>
      </c>
      <c r="D102" s="30"/>
      <c r="E102" s="31"/>
      <c r="F102" s="30"/>
      <c r="G102" s="32">
        <f>SUM(G103:G107)</f>
        <v>40931.25</v>
      </c>
      <c r="H102" s="32">
        <f>SUM(H103:H106)</f>
        <v>0</v>
      </c>
      <c r="I102" s="106" t="s">
        <v>211</v>
      </c>
      <c r="J102" s="107">
        <f>G102</f>
        <v>40931.25</v>
      </c>
      <c r="K102" s="108">
        <f>K94+J102</f>
        <v>959967.25</v>
      </c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</row>
    <row r="103" ht="15.75" customHeight="1">
      <c r="A103" s="36"/>
      <c r="B103" s="39" t="s">
        <v>227</v>
      </c>
      <c r="C103" s="38" t="s">
        <v>228</v>
      </c>
      <c r="D103" s="39" t="s">
        <v>229</v>
      </c>
      <c r="E103" s="40">
        <v>53.75</v>
      </c>
      <c r="F103" s="39">
        <v>50.0</v>
      </c>
      <c r="G103" s="40">
        <f t="shared" ref="G103:G107" si="14">E103*F103</f>
        <v>2687.5</v>
      </c>
      <c r="H103" s="40"/>
      <c r="I103" s="68"/>
      <c r="J103" s="92">
        <f>J102</f>
        <v>40931.25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ht="15.75" customHeight="1">
      <c r="A104" s="42"/>
      <c r="B104" s="45" t="s">
        <v>230</v>
      </c>
      <c r="C104" s="44" t="s">
        <v>231</v>
      </c>
      <c r="D104" s="45" t="s">
        <v>44</v>
      </c>
      <c r="E104" s="46">
        <v>187.5</v>
      </c>
      <c r="F104" s="45">
        <v>120.0</v>
      </c>
      <c r="G104" s="46">
        <f t="shared" si="14"/>
        <v>22500</v>
      </c>
      <c r="H104" s="46"/>
      <c r="I104" s="41"/>
      <c r="J104" s="11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28.5" customHeight="1">
      <c r="A105" s="42"/>
      <c r="B105" s="39" t="s">
        <v>232</v>
      </c>
      <c r="C105" s="44" t="s">
        <v>233</v>
      </c>
      <c r="D105" s="45" t="s">
        <v>234</v>
      </c>
      <c r="E105" s="46">
        <v>8202.5</v>
      </c>
      <c r="F105" s="45">
        <v>1.0</v>
      </c>
      <c r="G105" s="46">
        <f t="shared" si="14"/>
        <v>8202.5</v>
      </c>
      <c r="H105" s="46"/>
      <c r="I105" s="41"/>
      <c r="J105" s="11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22.5" customHeight="1">
      <c r="A106" s="42"/>
      <c r="B106" s="45" t="s">
        <v>235</v>
      </c>
      <c r="C106" s="90" t="s">
        <v>236</v>
      </c>
      <c r="D106" s="45" t="s">
        <v>44</v>
      </c>
      <c r="E106" s="46">
        <v>6166.25</v>
      </c>
      <c r="F106" s="45">
        <v>1.0</v>
      </c>
      <c r="G106" s="46">
        <f t="shared" si="14"/>
        <v>6166.25</v>
      </c>
      <c r="H106" s="46"/>
      <c r="I106" s="41"/>
      <c r="J106" s="11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1"/>
      <c r="B107" s="39" t="s">
        <v>237</v>
      </c>
      <c r="C107" s="51" t="s">
        <v>88</v>
      </c>
      <c r="D107" s="52" t="s">
        <v>44</v>
      </c>
      <c r="E107" s="53">
        <v>137.5</v>
      </c>
      <c r="F107" s="52">
        <v>10.0</v>
      </c>
      <c r="G107" s="53">
        <f t="shared" si="14"/>
        <v>1375</v>
      </c>
      <c r="H107" s="53"/>
      <c r="I107" s="73"/>
      <c r="J107" s="56"/>
      <c r="K107" s="57"/>
      <c r="L107" s="129"/>
      <c r="M107" s="129"/>
      <c r="N107" s="129"/>
      <c r="O107" s="129"/>
      <c r="P107" s="129"/>
      <c r="Q107" s="129"/>
      <c r="R107" s="57"/>
      <c r="S107" s="57"/>
      <c r="T107" s="57"/>
      <c r="U107" s="57"/>
      <c r="V107" s="57"/>
      <c r="W107" s="57"/>
      <c r="X107" s="57"/>
      <c r="Y107" s="57"/>
      <c r="Z107" s="57"/>
    </row>
    <row r="108" ht="22.5" customHeight="1">
      <c r="A108" s="36"/>
      <c r="B108" s="76">
        <v>9.0</v>
      </c>
      <c r="C108" s="60" t="s">
        <v>238</v>
      </c>
      <c r="D108" s="60"/>
      <c r="E108" s="61"/>
      <c r="F108" s="60"/>
      <c r="G108" s="62">
        <f>SUM(G109:G117)</f>
        <v>135230</v>
      </c>
      <c r="H108" s="62">
        <f>SUM(H110:H117)</f>
        <v>0</v>
      </c>
      <c r="I108" s="63" t="s">
        <v>211</v>
      </c>
      <c r="J108" s="130">
        <f>G108</f>
        <v>135230</v>
      </c>
      <c r="K108" s="65">
        <f>K102+J108</f>
        <v>1095197.25</v>
      </c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</row>
    <row r="109" ht="15.75" customHeight="1">
      <c r="A109" s="36"/>
      <c r="B109" s="39" t="s">
        <v>239</v>
      </c>
      <c r="C109" s="38" t="s">
        <v>240</v>
      </c>
      <c r="D109" s="39" t="s">
        <v>156</v>
      </c>
      <c r="E109" s="40">
        <v>5308.75</v>
      </c>
      <c r="F109" s="39">
        <v>1.0</v>
      </c>
      <c r="G109" s="40">
        <f t="shared" ref="G109:G117" si="15">E109*F109</f>
        <v>5308.75</v>
      </c>
      <c r="H109" s="40"/>
      <c r="I109" s="68"/>
      <c r="J109" s="92">
        <f>J108</f>
        <v>135230</v>
      </c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ht="15.75" customHeight="1">
      <c r="A110" s="42"/>
      <c r="B110" s="39" t="s">
        <v>241</v>
      </c>
      <c r="C110" s="44" t="s">
        <v>242</v>
      </c>
      <c r="D110" s="45" t="s">
        <v>44</v>
      </c>
      <c r="E110" s="46">
        <v>137.5</v>
      </c>
      <c r="F110" s="45">
        <v>32.0</v>
      </c>
      <c r="G110" s="46">
        <f t="shared" si="15"/>
        <v>4400</v>
      </c>
      <c r="H110" s="46"/>
      <c r="I110" s="41"/>
      <c r="J110" s="11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42"/>
      <c r="B111" s="39" t="s">
        <v>243</v>
      </c>
      <c r="C111" s="89" t="s">
        <v>244</v>
      </c>
      <c r="D111" s="45" t="s">
        <v>245</v>
      </c>
      <c r="E111" s="46">
        <v>1130.0</v>
      </c>
      <c r="F111" s="45">
        <v>10.0</v>
      </c>
      <c r="G111" s="46">
        <f t="shared" si="15"/>
        <v>11300</v>
      </c>
      <c r="H111" s="46"/>
      <c r="I111" s="41"/>
      <c r="J111" s="11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42"/>
      <c r="B112" s="39" t="s">
        <v>246</v>
      </c>
      <c r="C112" s="131" t="s">
        <v>247</v>
      </c>
      <c r="D112" s="132" t="s">
        <v>44</v>
      </c>
      <c r="E112" s="46">
        <v>187.5</v>
      </c>
      <c r="F112" s="45">
        <v>120.0</v>
      </c>
      <c r="G112" s="46">
        <f t="shared" si="15"/>
        <v>22500</v>
      </c>
      <c r="H112" s="46"/>
      <c r="I112" s="41"/>
      <c r="J112" s="11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42"/>
      <c r="B113" s="39" t="s">
        <v>248</v>
      </c>
      <c r="C113" s="38" t="s">
        <v>249</v>
      </c>
      <c r="D113" s="45" t="s">
        <v>44</v>
      </c>
      <c r="E113" s="46">
        <v>6516.25</v>
      </c>
      <c r="F113" s="45">
        <v>1.0</v>
      </c>
      <c r="G113" s="46">
        <f t="shared" si="15"/>
        <v>6516.25</v>
      </c>
      <c r="H113" s="46"/>
      <c r="I113" s="41"/>
      <c r="J113" s="11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42"/>
      <c r="B114" s="39" t="s">
        <v>250</v>
      </c>
      <c r="C114" s="44" t="s">
        <v>251</v>
      </c>
      <c r="D114" s="45" t="s">
        <v>18</v>
      </c>
      <c r="E114" s="46">
        <v>162.5</v>
      </c>
      <c r="F114" s="45">
        <v>24.0</v>
      </c>
      <c r="G114" s="46">
        <f t="shared" si="15"/>
        <v>3900</v>
      </c>
      <c r="H114" s="46"/>
      <c r="I114" s="41"/>
      <c r="J114" s="11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42"/>
      <c r="B115" s="39" t="s">
        <v>252</v>
      </c>
      <c r="C115" s="44" t="s">
        <v>253</v>
      </c>
      <c r="D115" s="45" t="s">
        <v>44</v>
      </c>
      <c r="E115" s="46">
        <v>8630.0</v>
      </c>
      <c r="F115" s="45">
        <v>1.0</v>
      </c>
      <c r="G115" s="46">
        <f t="shared" si="15"/>
        <v>8630</v>
      </c>
      <c r="H115" s="46"/>
      <c r="I115" s="41"/>
      <c r="J115" s="11"/>
      <c r="K115" s="5"/>
      <c r="L115" s="5"/>
      <c r="M115" s="12"/>
      <c r="N115" s="12"/>
      <c r="O115" s="12"/>
      <c r="P115" s="12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42"/>
      <c r="B116" s="39" t="s">
        <v>254</v>
      </c>
      <c r="C116" s="70" t="s">
        <v>255</v>
      </c>
      <c r="D116" s="45" t="s">
        <v>256</v>
      </c>
      <c r="E116" s="46">
        <v>35650.0</v>
      </c>
      <c r="F116" s="45">
        <v>2.0</v>
      </c>
      <c r="G116" s="46">
        <f t="shared" si="15"/>
        <v>71300</v>
      </c>
      <c r="H116" s="46"/>
      <c r="I116" s="41"/>
      <c r="J116" s="11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133"/>
      <c r="B117" s="39" t="s">
        <v>257</v>
      </c>
      <c r="C117" s="72" t="s">
        <v>88</v>
      </c>
      <c r="D117" s="52" t="s">
        <v>44</v>
      </c>
      <c r="E117" s="53">
        <v>137.5</v>
      </c>
      <c r="F117" s="52">
        <v>10.0</v>
      </c>
      <c r="G117" s="53">
        <f t="shared" si="15"/>
        <v>1375</v>
      </c>
      <c r="H117" s="53"/>
      <c r="I117" s="73"/>
      <c r="J117" s="56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 ht="30.0" customHeight="1">
      <c r="A118" s="97" t="s">
        <v>258</v>
      </c>
      <c r="B118" s="98"/>
      <c r="C118" s="99" t="s">
        <v>259</v>
      </c>
      <c r="D118" s="98"/>
      <c r="E118" s="100"/>
      <c r="F118" s="98"/>
      <c r="G118" s="101"/>
      <c r="H118" s="101">
        <f>SUM(G102,G108)</f>
        <v>176161.25</v>
      </c>
      <c r="I118" s="134"/>
      <c r="J118" s="135"/>
      <c r="K118" s="126"/>
      <c r="L118" s="126"/>
      <c r="M118" s="136"/>
      <c r="N118" s="137"/>
      <c r="O118" s="136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 ht="22.5" customHeight="1">
      <c r="A119" s="128"/>
      <c r="B119" s="29">
        <v>10.0</v>
      </c>
      <c r="C119" s="30" t="s">
        <v>260</v>
      </c>
      <c r="D119" s="30"/>
      <c r="E119" s="31"/>
      <c r="F119" s="30"/>
      <c r="G119" s="32">
        <f>SUM(G120:G136)</f>
        <v>95287.5</v>
      </c>
      <c r="H119" s="32">
        <f>SUM(H121:H144)</f>
        <v>95287.5</v>
      </c>
      <c r="I119" s="63" t="s">
        <v>211</v>
      </c>
      <c r="J119" s="64">
        <f>G119</f>
        <v>95287.5</v>
      </c>
      <c r="K119" s="65">
        <f>K108+J119</f>
        <v>1190484.75</v>
      </c>
      <c r="L119" s="138">
        <f>SUM(L120:L136)</f>
        <v>64700</v>
      </c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 ht="15.75" customHeight="1">
      <c r="A120" s="36"/>
      <c r="B120" s="45" t="s">
        <v>261</v>
      </c>
      <c r="C120" s="38" t="s">
        <v>165</v>
      </c>
      <c r="D120" s="39" t="s">
        <v>163</v>
      </c>
      <c r="E120" s="40">
        <f t="shared" ref="E120:E135" si="16">E75</f>
        <v>25276.25</v>
      </c>
      <c r="F120" s="39">
        <v>1.0</v>
      </c>
      <c r="G120" s="40">
        <f t="shared" ref="G120:G136" si="17">E120*F120</f>
        <v>25276.25</v>
      </c>
      <c r="H120" s="40"/>
      <c r="I120" s="68"/>
      <c r="J120" s="92">
        <f>J119</f>
        <v>95287.5</v>
      </c>
      <c r="K120" s="139"/>
      <c r="L120" s="5">
        <v>20000.0</v>
      </c>
      <c r="M120" s="5"/>
      <c r="N120" s="5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ht="15.75" customHeight="1">
      <c r="A121" s="42"/>
      <c r="B121" s="45" t="s">
        <v>262</v>
      </c>
      <c r="C121" s="44" t="s">
        <v>263</v>
      </c>
      <c r="D121" s="45" t="s">
        <v>168</v>
      </c>
      <c r="E121" s="46">
        <f t="shared" si="16"/>
        <v>3116.25</v>
      </c>
      <c r="F121" s="45">
        <v>1.0</v>
      </c>
      <c r="G121" s="46">
        <f t="shared" si="17"/>
        <v>3116.25</v>
      </c>
      <c r="H121" s="46"/>
      <c r="I121" s="41"/>
      <c r="J121" s="11"/>
      <c r="K121" s="12"/>
      <c r="L121" s="5">
        <v>2000.0</v>
      </c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42"/>
      <c r="B122" s="45" t="s">
        <v>264</v>
      </c>
      <c r="C122" s="44" t="s">
        <v>170</v>
      </c>
      <c r="D122" s="45" t="s">
        <v>163</v>
      </c>
      <c r="E122" s="46">
        <f t="shared" si="16"/>
        <v>9177.5</v>
      </c>
      <c r="F122" s="45">
        <v>1.0</v>
      </c>
      <c r="G122" s="46">
        <f t="shared" si="17"/>
        <v>9177.5</v>
      </c>
      <c r="H122" s="46"/>
      <c r="I122" s="41"/>
      <c r="J122" s="11"/>
      <c r="K122" s="12"/>
      <c r="L122" s="5">
        <v>10000.0</v>
      </c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22.5" customHeight="1">
      <c r="A123" s="42"/>
      <c r="B123" s="45" t="s">
        <v>265</v>
      </c>
      <c r="C123" s="44" t="s">
        <v>172</v>
      </c>
      <c r="D123" s="45" t="s">
        <v>61</v>
      </c>
      <c r="E123" s="46">
        <f t="shared" si="16"/>
        <v>5073.75</v>
      </c>
      <c r="F123" s="93">
        <v>1.0</v>
      </c>
      <c r="G123" s="46">
        <f t="shared" si="17"/>
        <v>5073.75</v>
      </c>
      <c r="H123" s="94"/>
      <c r="I123" s="41"/>
      <c r="J123" s="11"/>
      <c r="K123" s="12"/>
      <c r="L123" s="5">
        <v>5000.0</v>
      </c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42"/>
      <c r="B124" s="45" t="s">
        <v>266</v>
      </c>
      <c r="C124" s="44" t="s">
        <v>174</v>
      </c>
      <c r="D124" s="45" t="s">
        <v>175</v>
      </c>
      <c r="E124" s="46">
        <f t="shared" si="16"/>
        <v>15553.75</v>
      </c>
      <c r="F124" s="45">
        <v>1.0</v>
      </c>
      <c r="G124" s="46">
        <f t="shared" si="17"/>
        <v>15553.75</v>
      </c>
      <c r="H124" s="46"/>
      <c r="I124" s="41"/>
      <c r="J124" s="11"/>
      <c r="K124" s="12"/>
      <c r="L124" s="5">
        <v>10000.0</v>
      </c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42"/>
      <c r="B125" s="45" t="s">
        <v>267</v>
      </c>
      <c r="C125" s="44" t="s">
        <v>177</v>
      </c>
      <c r="D125" s="45" t="s">
        <v>178</v>
      </c>
      <c r="E125" s="46">
        <f t="shared" si="16"/>
        <v>7230</v>
      </c>
      <c r="F125" s="45">
        <v>1.0</v>
      </c>
      <c r="G125" s="46">
        <f t="shared" si="17"/>
        <v>7230</v>
      </c>
      <c r="H125" s="46"/>
      <c r="I125" s="41"/>
      <c r="J125" s="11"/>
      <c r="K125" s="12"/>
      <c r="L125" s="5">
        <v>5000.0</v>
      </c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42"/>
      <c r="B126" s="45" t="s">
        <v>268</v>
      </c>
      <c r="C126" s="44" t="s">
        <v>180</v>
      </c>
      <c r="D126" s="45" t="s">
        <v>181</v>
      </c>
      <c r="E126" s="46">
        <f t="shared" si="16"/>
        <v>1688.75</v>
      </c>
      <c r="F126" s="45">
        <v>1.0</v>
      </c>
      <c r="G126" s="46">
        <f t="shared" si="17"/>
        <v>1688.75</v>
      </c>
      <c r="H126" s="46"/>
      <c r="I126" s="41"/>
      <c r="J126" s="11"/>
      <c r="K126" s="12"/>
      <c r="L126" s="5">
        <v>1600.0</v>
      </c>
      <c r="M126" s="9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42"/>
      <c r="B127" s="45" t="s">
        <v>269</v>
      </c>
      <c r="C127" s="44" t="s">
        <v>183</v>
      </c>
      <c r="D127" s="45" t="s">
        <v>184</v>
      </c>
      <c r="E127" s="46">
        <f t="shared" si="16"/>
        <v>3587.5</v>
      </c>
      <c r="F127" s="93">
        <v>1.0</v>
      </c>
      <c r="G127" s="46">
        <f t="shared" si="17"/>
        <v>3587.5</v>
      </c>
      <c r="H127" s="94"/>
      <c r="I127" s="41"/>
      <c r="J127" s="11"/>
      <c r="K127" s="12"/>
      <c r="L127" s="5">
        <v>3500.0</v>
      </c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42"/>
      <c r="B128" s="45" t="s">
        <v>270</v>
      </c>
      <c r="C128" s="44" t="s">
        <v>122</v>
      </c>
      <c r="D128" s="45" t="s">
        <v>184</v>
      </c>
      <c r="E128" s="46">
        <f t="shared" si="16"/>
        <v>2371.25</v>
      </c>
      <c r="F128" s="93">
        <v>1.0</v>
      </c>
      <c r="G128" s="46">
        <f t="shared" si="17"/>
        <v>2371.25</v>
      </c>
      <c r="H128" s="94"/>
      <c r="I128" s="41"/>
      <c r="J128" s="11"/>
      <c r="K128" s="12"/>
      <c r="L128" s="5">
        <v>2500.0</v>
      </c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42"/>
      <c r="B129" s="45" t="s">
        <v>271</v>
      </c>
      <c r="C129" s="44" t="s">
        <v>187</v>
      </c>
      <c r="D129" s="45" t="s">
        <v>188</v>
      </c>
      <c r="E129" s="46">
        <f t="shared" si="16"/>
        <v>1618.75</v>
      </c>
      <c r="F129" s="45">
        <v>1.0</v>
      </c>
      <c r="G129" s="46">
        <f t="shared" si="17"/>
        <v>1618.75</v>
      </c>
      <c r="H129" s="46"/>
      <c r="I129" s="41"/>
      <c r="J129" s="11"/>
      <c r="K129" s="12"/>
      <c r="L129" s="5">
        <v>1600.0</v>
      </c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42"/>
      <c r="B130" s="45" t="s">
        <v>272</v>
      </c>
      <c r="C130" s="44" t="s">
        <v>190</v>
      </c>
      <c r="D130" s="45" t="s">
        <v>168</v>
      </c>
      <c r="E130" s="46">
        <f t="shared" si="16"/>
        <v>4695</v>
      </c>
      <c r="F130" s="45">
        <v>1.0</v>
      </c>
      <c r="G130" s="46">
        <f t="shared" si="17"/>
        <v>4695</v>
      </c>
      <c r="H130" s="46"/>
      <c r="I130" s="41"/>
      <c r="J130" s="11"/>
      <c r="K130" s="12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42"/>
      <c r="B131" s="45" t="s">
        <v>273</v>
      </c>
      <c r="C131" s="44" t="s">
        <v>192</v>
      </c>
      <c r="D131" s="45" t="s">
        <v>193</v>
      </c>
      <c r="E131" s="46">
        <f t="shared" si="16"/>
        <v>1635</v>
      </c>
      <c r="F131" s="45">
        <v>1.0</v>
      </c>
      <c r="G131" s="46">
        <f t="shared" si="17"/>
        <v>1635</v>
      </c>
      <c r="H131" s="46"/>
      <c r="I131" s="41"/>
      <c r="J131" s="11"/>
      <c r="K131" s="12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42"/>
      <c r="B132" s="45" t="s">
        <v>274</v>
      </c>
      <c r="C132" s="44" t="s">
        <v>275</v>
      </c>
      <c r="D132" s="45" t="s">
        <v>44</v>
      </c>
      <c r="E132" s="46">
        <f t="shared" si="16"/>
        <v>162.5</v>
      </c>
      <c r="F132" s="45">
        <v>32.0</v>
      </c>
      <c r="G132" s="46">
        <f t="shared" si="17"/>
        <v>5200</v>
      </c>
      <c r="H132" s="46"/>
      <c r="I132" s="41"/>
      <c r="J132" s="11"/>
      <c r="K132" s="12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22.5" customHeight="1">
      <c r="A133" s="42"/>
      <c r="B133" s="45" t="s">
        <v>276</v>
      </c>
      <c r="C133" s="44" t="s">
        <v>197</v>
      </c>
      <c r="D133" s="45" t="s">
        <v>44</v>
      </c>
      <c r="E133" s="46">
        <f t="shared" si="16"/>
        <v>162.5</v>
      </c>
      <c r="F133" s="45">
        <v>16.0</v>
      </c>
      <c r="G133" s="46">
        <f t="shared" si="17"/>
        <v>2600</v>
      </c>
      <c r="H133" s="46"/>
      <c r="I133" s="41"/>
      <c r="J133" s="11"/>
      <c r="K133" s="12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30.0" customHeight="1">
      <c r="A134" s="42"/>
      <c r="B134" s="45" t="s">
        <v>277</v>
      </c>
      <c r="C134" s="44" t="s">
        <v>199</v>
      </c>
      <c r="D134" s="45" t="s">
        <v>44</v>
      </c>
      <c r="E134" s="46">
        <f t="shared" si="16"/>
        <v>3863.75</v>
      </c>
      <c r="F134" s="45">
        <v>1.0</v>
      </c>
      <c r="G134" s="46">
        <f t="shared" si="17"/>
        <v>3863.75</v>
      </c>
      <c r="H134" s="46"/>
      <c r="I134" s="41"/>
      <c r="J134" s="11"/>
      <c r="K134" s="12"/>
      <c r="L134" s="5">
        <v>2000.0</v>
      </c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42"/>
      <c r="B135" s="45" t="s">
        <v>278</v>
      </c>
      <c r="C135" s="44" t="s">
        <v>201</v>
      </c>
      <c r="D135" s="45" t="s">
        <v>279</v>
      </c>
      <c r="E135" s="46">
        <f t="shared" si="16"/>
        <v>612.5</v>
      </c>
      <c r="F135" s="45">
        <v>2.0</v>
      </c>
      <c r="G135" s="46">
        <f t="shared" si="17"/>
        <v>1225</v>
      </c>
      <c r="H135" s="94"/>
      <c r="I135" s="41"/>
      <c r="J135" s="11"/>
      <c r="K135" s="12"/>
      <c r="L135" s="5">
        <v>1500.0</v>
      </c>
      <c r="M135" s="5"/>
      <c r="N135" s="5"/>
      <c r="O135" s="5"/>
      <c r="P135" s="5"/>
      <c r="Q135" s="5"/>
      <c r="R135" s="12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1"/>
      <c r="B136" s="45" t="s">
        <v>280</v>
      </c>
      <c r="C136" s="89" t="s">
        <v>281</v>
      </c>
      <c r="D136" s="52" t="s">
        <v>61</v>
      </c>
      <c r="E136" s="53">
        <v>137.5</v>
      </c>
      <c r="F136" s="52">
        <v>10.0</v>
      </c>
      <c r="G136" s="53">
        <f t="shared" si="17"/>
        <v>1375</v>
      </c>
      <c r="H136" s="53"/>
      <c r="I136" s="73"/>
      <c r="J136" s="56"/>
      <c r="K136" s="129"/>
      <c r="L136" s="57"/>
      <c r="M136" s="57"/>
      <c r="N136" s="57" t="s">
        <v>282</v>
      </c>
      <c r="O136" s="57"/>
      <c r="P136" s="57"/>
      <c r="Q136" s="140"/>
      <c r="R136" s="141"/>
      <c r="S136" s="141"/>
      <c r="T136" s="142"/>
      <c r="U136" s="141"/>
      <c r="V136" s="143"/>
      <c r="W136" s="143"/>
      <c r="X136" s="144"/>
      <c r="Y136" s="56"/>
      <c r="Z136" s="57"/>
    </row>
    <row r="137" ht="30.75" customHeight="1">
      <c r="A137" s="97" t="s">
        <v>283</v>
      </c>
      <c r="B137" s="98"/>
      <c r="C137" s="99" t="s">
        <v>284</v>
      </c>
      <c r="D137" s="98"/>
      <c r="E137" s="100"/>
      <c r="F137" s="98"/>
      <c r="G137" s="101"/>
      <c r="H137" s="101">
        <f>G119</f>
        <v>95287.5</v>
      </c>
      <c r="I137" s="41"/>
      <c r="J137" s="11"/>
      <c r="K137" s="5"/>
      <c r="L137" s="5"/>
      <c r="M137" s="95">
        <f>O118-H137</f>
        <v>-95287.5</v>
      </c>
      <c r="N137" s="103">
        <f>H137</f>
        <v>95287.5</v>
      </c>
      <c r="O137" s="136">
        <f>N137+M137</f>
        <v>0</v>
      </c>
      <c r="P137" s="57"/>
      <c r="Q137" s="145"/>
      <c r="R137" s="146"/>
      <c r="S137" s="146"/>
      <c r="T137" s="147"/>
      <c r="U137" s="146"/>
      <c r="V137" s="148"/>
      <c r="W137" s="148"/>
      <c r="X137" s="149"/>
      <c r="Y137" s="135"/>
      <c r="Z137" s="57"/>
    </row>
    <row r="138" ht="24.75" customHeight="1">
      <c r="A138" s="128"/>
      <c r="B138" s="150">
        <v>11.0</v>
      </c>
      <c r="C138" s="30" t="s">
        <v>285</v>
      </c>
      <c r="D138" s="30"/>
      <c r="E138" s="31"/>
      <c r="F138" s="30"/>
      <c r="G138" s="32">
        <f>SUM(G139:G144)</f>
        <v>166873.75</v>
      </c>
      <c r="H138" s="32">
        <f>SUM(H140:H144)</f>
        <v>0</v>
      </c>
      <c r="I138" s="106" t="s">
        <v>211</v>
      </c>
      <c r="J138" s="151">
        <f>G138</f>
        <v>166873.75</v>
      </c>
      <c r="K138" s="152">
        <f>K119+J138</f>
        <v>1357358.5</v>
      </c>
      <c r="L138" s="153"/>
      <c r="M138" s="153"/>
      <c r="N138" s="67"/>
      <c r="O138" s="67"/>
      <c r="P138" s="67"/>
      <c r="Q138" s="154"/>
      <c r="R138" s="155"/>
      <c r="S138" s="154"/>
      <c r="T138" s="156"/>
      <c r="U138" s="154"/>
      <c r="V138" s="156"/>
      <c r="W138" s="156"/>
      <c r="X138" s="157"/>
      <c r="Y138" s="130"/>
      <c r="Z138" s="67"/>
    </row>
    <row r="139" ht="15.75" customHeight="1">
      <c r="A139" s="36"/>
      <c r="B139" s="45" t="s">
        <v>286</v>
      </c>
      <c r="C139" s="38" t="s">
        <v>287</v>
      </c>
      <c r="D139" s="158" t="s">
        <v>44</v>
      </c>
      <c r="E139" s="40">
        <v>137.5</v>
      </c>
      <c r="F139" s="39">
        <v>40.0</v>
      </c>
      <c r="G139" s="40">
        <f t="shared" ref="G139:G144" si="18">E139*F139</f>
        <v>5500</v>
      </c>
      <c r="H139" s="40"/>
      <c r="I139" s="68"/>
      <c r="J139" s="92">
        <f>J138</f>
        <v>166873.75</v>
      </c>
      <c r="K139" s="66"/>
      <c r="L139" s="66"/>
      <c r="M139" s="66"/>
      <c r="N139" s="66"/>
      <c r="O139" s="66"/>
      <c r="P139" s="66"/>
      <c r="Q139" s="159"/>
      <c r="R139" s="160"/>
      <c r="S139" s="161"/>
      <c r="T139" s="91"/>
      <c r="U139" s="161"/>
      <c r="V139" s="91"/>
      <c r="W139" s="162"/>
      <c r="X139" s="159"/>
      <c r="Y139" s="92"/>
      <c r="Z139" s="66"/>
    </row>
    <row r="140" ht="15.75" customHeight="1">
      <c r="A140" s="42"/>
      <c r="B140" s="45" t="s">
        <v>288</v>
      </c>
      <c r="C140" s="44" t="s">
        <v>289</v>
      </c>
      <c r="D140" s="45" t="s">
        <v>245</v>
      </c>
      <c r="E140" s="46">
        <v>1130.0</v>
      </c>
      <c r="F140" s="45">
        <v>45.0</v>
      </c>
      <c r="G140" s="46">
        <f t="shared" si="18"/>
        <v>50850</v>
      </c>
      <c r="H140" s="46"/>
      <c r="I140" s="41"/>
      <c r="J140" s="11"/>
      <c r="K140" s="5"/>
      <c r="L140" s="5"/>
      <c r="M140" s="5"/>
      <c r="N140" s="5"/>
      <c r="O140" s="5"/>
      <c r="P140" s="5"/>
      <c r="Q140" s="163"/>
      <c r="R140" s="90"/>
      <c r="S140" s="163"/>
      <c r="T140" s="164"/>
      <c r="U140" s="163"/>
      <c r="V140" s="164"/>
      <c r="W140" s="164"/>
      <c r="X140" s="165"/>
      <c r="Y140" s="11"/>
      <c r="Z140" s="5"/>
    </row>
    <row r="141" ht="15.75" customHeight="1">
      <c r="A141" s="42"/>
      <c r="B141" s="45" t="s">
        <v>290</v>
      </c>
      <c r="C141" s="44" t="s">
        <v>291</v>
      </c>
      <c r="D141" s="45" t="s">
        <v>44</v>
      </c>
      <c r="E141" s="46">
        <v>187.5</v>
      </c>
      <c r="F141" s="45">
        <v>480.0</v>
      </c>
      <c r="G141" s="46">
        <f t="shared" si="18"/>
        <v>90000</v>
      </c>
      <c r="H141" s="46"/>
      <c r="I141" s="41"/>
      <c r="J141" s="11"/>
      <c r="K141" s="5"/>
      <c r="L141" s="5"/>
      <c r="M141" s="5"/>
      <c r="N141" s="5"/>
      <c r="O141" s="5"/>
      <c r="P141" s="5"/>
      <c r="Q141" s="165"/>
      <c r="R141" s="90"/>
      <c r="S141" s="163"/>
      <c r="T141" s="164"/>
      <c r="U141" s="163"/>
      <c r="V141" s="164"/>
      <c r="W141" s="164"/>
      <c r="X141" s="165"/>
      <c r="Y141" s="11"/>
      <c r="Z141" s="5"/>
    </row>
    <row r="142" ht="15.75" customHeight="1">
      <c r="A142" s="42"/>
      <c r="B142" s="45" t="s">
        <v>292</v>
      </c>
      <c r="C142" s="44" t="s">
        <v>293</v>
      </c>
      <c r="D142" s="45" t="s">
        <v>44</v>
      </c>
      <c r="E142" s="46">
        <v>4216.25</v>
      </c>
      <c r="F142" s="45">
        <v>3.0</v>
      </c>
      <c r="G142" s="46">
        <f t="shared" si="18"/>
        <v>12648.75</v>
      </c>
      <c r="H142" s="46"/>
      <c r="I142" s="41"/>
      <c r="J142" s="11"/>
      <c r="K142" s="5"/>
      <c r="L142" s="5"/>
      <c r="M142" s="5"/>
      <c r="N142" s="5"/>
      <c r="O142" s="5"/>
      <c r="P142" s="5"/>
      <c r="Q142" s="163"/>
      <c r="R142" s="90"/>
      <c r="S142" s="163"/>
      <c r="T142" s="164"/>
      <c r="U142" s="163"/>
      <c r="V142" s="164"/>
      <c r="W142" s="164"/>
      <c r="X142" s="165"/>
      <c r="Y142" s="11"/>
      <c r="Z142" s="5"/>
    </row>
    <row r="143" ht="15.75" customHeight="1">
      <c r="A143" s="42"/>
      <c r="B143" s="45" t="s">
        <v>294</v>
      </c>
      <c r="C143" s="44" t="s">
        <v>295</v>
      </c>
      <c r="D143" s="45" t="s">
        <v>18</v>
      </c>
      <c r="E143" s="46">
        <v>162.5</v>
      </c>
      <c r="F143" s="45">
        <v>40.0</v>
      </c>
      <c r="G143" s="46">
        <f t="shared" si="18"/>
        <v>6500</v>
      </c>
      <c r="H143" s="166"/>
      <c r="I143" s="41"/>
      <c r="J143" s="11"/>
      <c r="K143" s="5"/>
      <c r="L143" s="5"/>
      <c r="M143" s="5"/>
      <c r="N143" s="5"/>
      <c r="O143" s="5"/>
      <c r="P143" s="5"/>
      <c r="Q143" s="165"/>
      <c r="R143" s="90"/>
      <c r="S143" s="163"/>
      <c r="T143" s="164"/>
      <c r="U143" s="163"/>
      <c r="V143" s="164"/>
      <c r="W143" s="167"/>
      <c r="X143" s="165"/>
      <c r="Y143" s="11"/>
      <c r="Z143" s="5"/>
    </row>
    <row r="144" ht="15.75" customHeight="1">
      <c r="A144" s="104"/>
      <c r="B144" s="45" t="s">
        <v>296</v>
      </c>
      <c r="C144" s="51" t="s">
        <v>88</v>
      </c>
      <c r="D144" s="52" t="s">
        <v>44</v>
      </c>
      <c r="E144" s="53">
        <v>137.5</v>
      </c>
      <c r="F144" s="52">
        <v>10.0</v>
      </c>
      <c r="G144" s="53">
        <f t="shared" si="18"/>
        <v>1375</v>
      </c>
      <c r="H144" s="53"/>
      <c r="I144" s="73"/>
      <c r="J144" s="129"/>
      <c r="K144" s="57"/>
      <c r="L144" s="57"/>
      <c r="M144" s="57"/>
      <c r="N144" s="57"/>
      <c r="O144" s="57"/>
      <c r="P144" s="57"/>
      <c r="Q144" s="168"/>
      <c r="R144" s="51"/>
      <c r="S144" s="168"/>
      <c r="T144" s="169"/>
      <c r="U144" s="168"/>
      <c r="V144" s="169"/>
      <c r="W144" s="169"/>
      <c r="X144" s="170"/>
      <c r="Y144" s="56"/>
      <c r="Z144" s="57"/>
    </row>
    <row r="145" ht="30.0" customHeight="1">
      <c r="A145" s="97" t="s">
        <v>297</v>
      </c>
      <c r="B145" s="98"/>
      <c r="C145" s="99" t="s">
        <v>298</v>
      </c>
      <c r="D145" s="98"/>
      <c r="E145" s="100"/>
      <c r="F145" s="98"/>
      <c r="G145" s="101"/>
      <c r="H145" s="101">
        <f>G138</f>
        <v>166873.75</v>
      </c>
      <c r="I145" s="41"/>
      <c r="J145" s="4"/>
      <c r="K145" s="5"/>
      <c r="L145" s="57"/>
      <c r="M145" s="136"/>
      <c r="N145" s="103">
        <f>H145</f>
        <v>166873.75</v>
      </c>
      <c r="O145" s="57"/>
      <c r="P145" s="57"/>
      <c r="Q145" s="171"/>
      <c r="R145" s="172"/>
      <c r="S145" s="171"/>
      <c r="T145" s="173"/>
      <c r="U145" s="171"/>
      <c r="V145" s="173"/>
      <c r="W145" s="173"/>
      <c r="X145" s="174"/>
      <c r="Y145" s="175"/>
      <c r="Z145" s="57"/>
    </row>
    <row r="146" ht="24.0" customHeight="1">
      <c r="A146" s="42"/>
      <c r="B146" s="176">
        <v>12.0</v>
      </c>
      <c r="C146" s="30" t="s">
        <v>299</v>
      </c>
      <c r="D146" s="30"/>
      <c r="E146" s="31"/>
      <c r="F146" s="30"/>
      <c r="G146" s="32">
        <f>SUM(G147:G157)</f>
        <v>462375</v>
      </c>
      <c r="H146" s="32">
        <f>SUM(H147:H156)</f>
        <v>0</v>
      </c>
      <c r="I146" s="106" t="s">
        <v>300</v>
      </c>
      <c r="J146" s="177">
        <f>G146</f>
        <v>462375</v>
      </c>
      <c r="K146" s="152">
        <f>K138+J146</f>
        <v>1819733.5</v>
      </c>
      <c r="L146" s="178">
        <f>SUM(L147:L157)+L162+L168</f>
        <v>402000</v>
      </c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 ht="15.75" customHeight="1">
      <c r="A147" s="36"/>
      <c r="B147" s="45" t="s">
        <v>301</v>
      </c>
      <c r="C147" s="38" t="s">
        <v>49</v>
      </c>
      <c r="D147" s="39" t="s">
        <v>15</v>
      </c>
      <c r="E147" s="40">
        <v>187.5</v>
      </c>
      <c r="F147" s="39">
        <v>600.0</v>
      </c>
      <c r="G147" s="40">
        <f t="shared" ref="G147:G157" si="19">E147*F147</f>
        <v>112500</v>
      </c>
      <c r="H147" s="40"/>
      <c r="I147" s="179"/>
      <c r="J147" s="92">
        <f>J146</f>
        <v>462375</v>
      </c>
      <c r="K147" s="66"/>
      <c r="L147" s="66">
        <v>60000.0</v>
      </c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ht="15.75" customHeight="1">
      <c r="A148" s="42"/>
      <c r="B148" s="45" t="s">
        <v>302</v>
      </c>
      <c r="C148" s="44" t="s">
        <v>51</v>
      </c>
      <c r="D148" s="45" t="s">
        <v>18</v>
      </c>
      <c r="E148" s="46">
        <v>162.5</v>
      </c>
      <c r="F148" s="45">
        <v>120.0</v>
      </c>
      <c r="G148" s="46">
        <f t="shared" si="19"/>
        <v>19500</v>
      </c>
      <c r="H148" s="46"/>
      <c r="I148" s="180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42"/>
      <c r="B149" s="45" t="s">
        <v>303</v>
      </c>
      <c r="C149" s="90" t="s">
        <v>53</v>
      </c>
      <c r="D149" s="45" t="s">
        <v>18</v>
      </c>
      <c r="E149" s="46">
        <v>162.5</v>
      </c>
      <c r="F149" s="45">
        <v>190.0</v>
      </c>
      <c r="G149" s="46">
        <f t="shared" si="19"/>
        <v>30875</v>
      </c>
      <c r="H149" s="46"/>
      <c r="I149" s="180"/>
      <c r="J149" s="11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42"/>
      <c r="B150" s="45" t="s">
        <v>304</v>
      </c>
      <c r="C150" s="70" t="s">
        <v>305</v>
      </c>
      <c r="D150" s="45" t="s">
        <v>56</v>
      </c>
      <c r="E150" s="46">
        <v>187.5</v>
      </c>
      <c r="F150" s="45">
        <v>120.0</v>
      </c>
      <c r="G150" s="46">
        <f t="shared" si="19"/>
        <v>22500</v>
      </c>
      <c r="H150" s="46"/>
      <c r="I150" s="180"/>
      <c r="J150" s="11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42"/>
      <c r="B151" s="45" t="s">
        <v>306</v>
      </c>
      <c r="C151" s="70" t="s">
        <v>307</v>
      </c>
      <c r="D151" s="45" t="s">
        <v>184</v>
      </c>
      <c r="E151" s="46">
        <v>187.5</v>
      </c>
      <c r="F151" s="45">
        <v>630.0</v>
      </c>
      <c r="G151" s="46">
        <f t="shared" si="19"/>
        <v>118125</v>
      </c>
      <c r="H151" s="46"/>
      <c r="I151" s="180"/>
      <c r="J151" s="11"/>
      <c r="K151" s="5"/>
      <c r="L151" s="5">
        <v>60000.0</v>
      </c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42"/>
      <c r="B152" s="45" t="s">
        <v>308</v>
      </c>
      <c r="C152" s="70" t="s">
        <v>309</v>
      </c>
      <c r="D152" s="45" t="s">
        <v>184</v>
      </c>
      <c r="E152" s="46">
        <v>187.5</v>
      </c>
      <c r="F152" s="181">
        <v>120.0</v>
      </c>
      <c r="G152" s="46">
        <f t="shared" si="19"/>
        <v>22500</v>
      </c>
      <c r="H152" s="182"/>
      <c r="I152" s="3"/>
      <c r="J152" s="4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42"/>
      <c r="B153" s="45" t="s">
        <v>310</v>
      </c>
      <c r="C153" s="70" t="s">
        <v>60</v>
      </c>
      <c r="D153" s="45" t="s">
        <v>61</v>
      </c>
      <c r="E153" s="46">
        <v>187.5</v>
      </c>
      <c r="F153" s="45">
        <v>160.0</v>
      </c>
      <c r="G153" s="46">
        <f t="shared" si="19"/>
        <v>30000</v>
      </c>
      <c r="H153" s="46"/>
      <c r="I153" s="180"/>
      <c r="J153" s="11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42"/>
      <c r="B154" s="45" t="s">
        <v>311</v>
      </c>
      <c r="C154" s="70" t="s">
        <v>312</v>
      </c>
      <c r="D154" s="45" t="s">
        <v>61</v>
      </c>
      <c r="E154" s="46">
        <v>187.5</v>
      </c>
      <c r="F154" s="45">
        <v>160.0</v>
      </c>
      <c r="G154" s="46">
        <f t="shared" si="19"/>
        <v>30000</v>
      </c>
      <c r="H154" s="46"/>
      <c r="I154" s="180"/>
      <c r="J154" s="11"/>
      <c r="K154" s="183"/>
      <c r="L154" s="5">
        <v>20000.0</v>
      </c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42"/>
      <c r="B155" s="45" t="s">
        <v>313</v>
      </c>
      <c r="C155" s="70" t="s">
        <v>314</v>
      </c>
      <c r="D155" s="45" t="s">
        <v>61</v>
      </c>
      <c r="E155" s="46">
        <v>187.5</v>
      </c>
      <c r="F155" s="45">
        <v>240.0</v>
      </c>
      <c r="G155" s="46">
        <f t="shared" si="19"/>
        <v>45000</v>
      </c>
      <c r="H155" s="46"/>
      <c r="I155" s="180"/>
      <c r="J155" s="11"/>
      <c r="K155" s="12"/>
      <c r="L155" s="5">
        <v>30000.0</v>
      </c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42"/>
      <c r="B156" s="45" t="s">
        <v>315</v>
      </c>
      <c r="C156" s="70" t="s">
        <v>58</v>
      </c>
      <c r="D156" s="45" t="s">
        <v>18</v>
      </c>
      <c r="E156" s="46">
        <v>187.5</v>
      </c>
      <c r="F156" s="45">
        <v>160.0</v>
      </c>
      <c r="G156" s="46">
        <f t="shared" si="19"/>
        <v>30000</v>
      </c>
      <c r="H156" s="46"/>
      <c r="I156" s="180"/>
      <c r="J156" s="11"/>
      <c r="K156" s="12"/>
      <c r="L156" s="5">
        <v>20000.0</v>
      </c>
      <c r="M156" s="5"/>
      <c r="N156" s="5"/>
      <c r="O156" s="5"/>
      <c r="P156" s="5"/>
      <c r="Q156" s="163"/>
      <c r="R156" s="90"/>
      <c r="S156" s="163"/>
      <c r="T156" s="164"/>
      <c r="U156" s="163"/>
      <c r="V156" s="164"/>
      <c r="W156" s="164"/>
      <c r="X156" s="165"/>
      <c r="Y156" s="11"/>
      <c r="Z156" s="5"/>
    </row>
    <row r="157" ht="15.75" customHeight="1">
      <c r="A157" s="109"/>
      <c r="B157" s="45" t="s">
        <v>316</v>
      </c>
      <c r="C157" s="72" t="s">
        <v>317</v>
      </c>
      <c r="D157" s="52" t="s">
        <v>156</v>
      </c>
      <c r="E157" s="53">
        <v>137.5</v>
      </c>
      <c r="F157" s="52">
        <v>10.0</v>
      </c>
      <c r="G157" s="53">
        <f t="shared" si="19"/>
        <v>1375</v>
      </c>
      <c r="H157" s="53"/>
      <c r="I157" s="184"/>
      <c r="J157" s="56"/>
      <c r="K157" s="129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 ht="30.75" customHeight="1">
      <c r="A158" s="97" t="s">
        <v>318</v>
      </c>
      <c r="B158" s="98"/>
      <c r="C158" s="99" t="s">
        <v>319</v>
      </c>
      <c r="D158" s="98"/>
      <c r="E158" s="100"/>
      <c r="F158" s="98"/>
      <c r="G158" s="101"/>
      <c r="H158" s="101">
        <f>G146</f>
        <v>462375</v>
      </c>
      <c r="I158" s="41"/>
      <c r="J158" s="4"/>
      <c r="K158" s="5"/>
      <c r="L158" s="5"/>
      <c r="M158" s="95">
        <f>N114-H158</f>
        <v>-462375</v>
      </c>
      <c r="N158" s="185">
        <f>H158</f>
        <v>462375</v>
      </c>
      <c r="O158" s="5"/>
      <c r="P158" s="5"/>
      <c r="Q158" s="163"/>
      <c r="R158" s="90"/>
      <c r="S158" s="163"/>
      <c r="T158" s="164"/>
      <c r="U158" s="163"/>
      <c r="V158" s="164"/>
      <c r="W158" s="164"/>
      <c r="X158" s="165"/>
      <c r="Y158" s="11"/>
      <c r="Z158" s="57"/>
    </row>
    <row r="159" ht="23.25" customHeight="1">
      <c r="A159" s="128"/>
      <c r="B159" s="150">
        <v>13.0</v>
      </c>
      <c r="C159" s="30" t="s">
        <v>320</v>
      </c>
      <c r="D159" s="30"/>
      <c r="E159" s="31"/>
      <c r="F159" s="30"/>
      <c r="G159" s="32">
        <f>SUM(G160,G161)</f>
        <v>22790</v>
      </c>
      <c r="H159" s="32">
        <f>SUM(H160)</f>
        <v>0</v>
      </c>
      <c r="I159" s="106" t="s">
        <v>221</v>
      </c>
      <c r="J159" s="107">
        <f>G159</f>
        <v>22790</v>
      </c>
      <c r="K159" s="108">
        <f>K146+J159</f>
        <v>1842523.5</v>
      </c>
      <c r="L159" s="153"/>
      <c r="M159" s="67"/>
      <c r="N159" s="67"/>
      <c r="O159" s="67"/>
      <c r="P159" s="67"/>
      <c r="Q159" s="67"/>
      <c r="R159" s="153"/>
      <c r="S159" s="153"/>
      <c r="T159" s="67"/>
      <c r="U159" s="67"/>
      <c r="V159" s="67"/>
      <c r="W159" s="67"/>
      <c r="X159" s="67"/>
      <c r="Y159" s="67"/>
      <c r="Z159" s="67"/>
    </row>
    <row r="160" ht="15.75" customHeight="1">
      <c r="A160" s="36"/>
      <c r="B160" s="45" t="s">
        <v>301</v>
      </c>
      <c r="C160" s="38" t="s">
        <v>321</v>
      </c>
      <c r="D160" s="39" t="s">
        <v>44</v>
      </c>
      <c r="E160" s="40">
        <v>137.5</v>
      </c>
      <c r="F160" s="186">
        <v>150.0</v>
      </c>
      <c r="G160" s="40">
        <f t="shared" ref="G160:G161" si="20">E160*F160</f>
        <v>20625</v>
      </c>
      <c r="H160" s="187"/>
      <c r="I160" s="68"/>
      <c r="J160" s="69">
        <f>J159</f>
        <v>22790</v>
      </c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ht="15.75" customHeight="1">
      <c r="A161" s="1"/>
      <c r="B161" s="45" t="s">
        <v>302</v>
      </c>
      <c r="C161" s="51" t="s">
        <v>322</v>
      </c>
      <c r="D161" s="52" t="s">
        <v>44</v>
      </c>
      <c r="E161" s="53">
        <v>2165.0</v>
      </c>
      <c r="F161" s="188">
        <v>1.0</v>
      </c>
      <c r="G161" s="53">
        <f t="shared" si="20"/>
        <v>2165</v>
      </c>
      <c r="H161" s="189"/>
      <c r="I161" s="73"/>
      <c r="J161" s="74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 ht="15.75" customHeight="1">
      <c r="A162" s="190"/>
      <c r="B162" s="191">
        <v>14.0</v>
      </c>
      <c r="C162" s="192" t="s">
        <v>323</v>
      </c>
      <c r="D162" s="193"/>
      <c r="E162" s="194"/>
      <c r="F162" s="193"/>
      <c r="G162" s="195">
        <f t="shared" ref="G162:H162" si="21">SUM(G163:G167)</f>
        <v>11091.5</v>
      </c>
      <c r="H162" s="195">
        <f t="shared" si="21"/>
        <v>7193.75</v>
      </c>
      <c r="I162" s="49" t="s">
        <v>47</v>
      </c>
      <c r="J162" s="4">
        <v>19262.0</v>
      </c>
      <c r="K162" s="196"/>
      <c r="L162" s="12">
        <v>12000.0</v>
      </c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42"/>
      <c r="B163" s="39" t="s">
        <v>324</v>
      </c>
      <c r="C163" s="44" t="s">
        <v>325</v>
      </c>
      <c r="D163" s="45" t="s">
        <v>44</v>
      </c>
      <c r="E163" s="46">
        <v>137.5</v>
      </c>
      <c r="F163" s="45">
        <v>4.0</v>
      </c>
      <c r="G163" s="46">
        <f t="shared" ref="G163:G167" si="22">E163*F163</f>
        <v>550</v>
      </c>
      <c r="H163" s="94"/>
      <c r="I163" s="41"/>
      <c r="J163" s="4">
        <v>19262.0</v>
      </c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42"/>
      <c r="B164" s="45" t="s">
        <v>326</v>
      </c>
      <c r="C164" s="44" t="s">
        <v>327</v>
      </c>
      <c r="D164" s="45" t="s">
        <v>44</v>
      </c>
      <c r="E164" s="46">
        <v>137.5</v>
      </c>
      <c r="F164" s="45">
        <v>4.0</v>
      </c>
      <c r="G164" s="46">
        <f t="shared" si="22"/>
        <v>550</v>
      </c>
      <c r="H164" s="94"/>
      <c r="I164" s="41"/>
      <c r="J164" s="4"/>
      <c r="K164" s="5"/>
      <c r="L164" s="12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42"/>
      <c r="B165" s="39" t="s">
        <v>328</v>
      </c>
      <c r="C165" s="44" t="s">
        <v>329</v>
      </c>
      <c r="D165" s="45" t="s">
        <v>44</v>
      </c>
      <c r="E165" s="46">
        <v>3347.0</v>
      </c>
      <c r="F165" s="45">
        <v>2.0</v>
      </c>
      <c r="G165" s="46">
        <f t="shared" si="22"/>
        <v>6694</v>
      </c>
      <c r="H165" s="46">
        <v>5345.0</v>
      </c>
      <c r="I165" s="41"/>
      <c r="J165" s="4"/>
      <c r="K165" s="5"/>
      <c r="L165" s="12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42"/>
      <c r="B166" s="45" t="s">
        <v>330</v>
      </c>
      <c r="C166" s="44" t="s">
        <v>331</v>
      </c>
      <c r="D166" s="45" t="s">
        <v>44</v>
      </c>
      <c r="E166" s="46">
        <v>786.25</v>
      </c>
      <c r="F166" s="45">
        <v>2.0</v>
      </c>
      <c r="G166" s="46">
        <f t="shared" si="22"/>
        <v>1572.5</v>
      </c>
      <c r="H166" s="46">
        <v>986.25</v>
      </c>
      <c r="I166" s="41"/>
      <c r="J166" s="4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42"/>
      <c r="B167" s="39" t="s">
        <v>332</v>
      </c>
      <c r="C167" s="44" t="s">
        <v>333</v>
      </c>
      <c r="D167" s="45" t="s">
        <v>202</v>
      </c>
      <c r="E167" s="164">
        <v>862.5</v>
      </c>
      <c r="F167" s="45">
        <v>2.0</v>
      </c>
      <c r="G167" s="46">
        <f t="shared" si="22"/>
        <v>1725</v>
      </c>
      <c r="H167" s="164">
        <v>862.5</v>
      </c>
      <c r="I167" s="41"/>
      <c r="J167" s="4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24.0" customHeight="1">
      <c r="A168" s="128"/>
      <c r="B168" s="150">
        <v>15.0</v>
      </c>
      <c r="C168" s="30" t="s">
        <v>220</v>
      </c>
      <c r="D168" s="30"/>
      <c r="E168" s="31"/>
      <c r="F168" s="30"/>
      <c r="G168" s="32">
        <f>G169</f>
        <v>227088</v>
      </c>
      <c r="H168" s="32">
        <f>SUM(H169)</f>
        <v>0</v>
      </c>
      <c r="I168" s="106" t="s">
        <v>221</v>
      </c>
      <c r="J168" s="107">
        <f>G168</f>
        <v>227088</v>
      </c>
      <c r="K168" s="108">
        <f>K159+J168</f>
        <v>2069611.5</v>
      </c>
      <c r="L168" s="197">
        <v>200000.0</v>
      </c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</row>
    <row r="169" ht="15.75" customHeight="1">
      <c r="A169" s="1"/>
      <c r="B169" s="45" t="s">
        <v>334</v>
      </c>
      <c r="C169" s="89" t="s">
        <v>335</v>
      </c>
      <c r="D169" s="52" t="s">
        <v>44</v>
      </c>
      <c r="E169" s="53">
        <v>227088.0</v>
      </c>
      <c r="F169" s="52">
        <v>1.0</v>
      </c>
      <c r="G169" s="53">
        <f>E169*F169</f>
        <v>227088</v>
      </c>
      <c r="H169" s="53"/>
      <c r="I169" s="73"/>
      <c r="J169" s="74"/>
      <c r="K169" s="129"/>
      <c r="L169" s="199"/>
      <c r="M169" s="200"/>
      <c r="N169" s="200"/>
      <c r="O169" s="200"/>
      <c r="P169" s="200"/>
      <c r="Q169" s="200"/>
      <c r="R169" s="200"/>
      <c r="S169" s="200"/>
      <c r="T169" s="200"/>
      <c r="U169" s="200"/>
      <c r="V169" s="200"/>
      <c r="W169" s="200"/>
      <c r="X169" s="200"/>
      <c r="Y169" s="200"/>
      <c r="Z169" s="200"/>
    </row>
    <row r="170" ht="30.0" customHeight="1">
      <c r="A170" s="201"/>
      <c r="B170" s="202"/>
      <c r="C170" s="203" t="s">
        <v>336</v>
      </c>
      <c r="D170" s="202"/>
      <c r="E170" s="204"/>
      <c r="F170" s="202"/>
      <c r="G170" s="205">
        <f>SUM(G5:G169)/2</f>
        <v>2212259</v>
      </c>
      <c r="H170" s="204"/>
      <c r="I170" s="206"/>
      <c r="J170" s="207"/>
      <c r="K170" s="208"/>
      <c r="L170" s="208"/>
      <c r="M170" s="209"/>
      <c r="N170" s="209"/>
      <c r="O170" s="209"/>
      <c r="P170" s="209"/>
      <c r="Q170" s="209"/>
      <c r="R170" s="208"/>
      <c r="S170" s="208"/>
      <c r="T170" s="209"/>
      <c r="U170" s="209"/>
      <c r="V170" s="209"/>
      <c r="W170" s="209"/>
      <c r="X170" s="209"/>
      <c r="Y170" s="209"/>
      <c r="Z170" s="209"/>
    </row>
    <row r="171" ht="27.75" customHeight="1">
      <c r="A171" s="210" t="s">
        <v>337</v>
      </c>
      <c r="B171" s="98"/>
      <c r="C171" s="99" t="s">
        <v>338</v>
      </c>
      <c r="D171" s="98"/>
      <c r="E171" s="100"/>
      <c r="F171" s="98"/>
      <c r="G171" s="101"/>
      <c r="H171" s="101">
        <f>SUM(G159,G162,G168)</f>
        <v>260969.5</v>
      </c>
      <c r="I171" s="41"/>
      <c r="J171" s="4">
        <f>SUM(H101,H118,H137,H145,H158,H171)</f>
        <v>1371496.75</v>
      </c>
      <c r="K171" s="5"/>
      <c r="L171" s="5"/>
      <c r="M171" s="5"/>
      <c r="N171" s="5"/>
      <c r="O171" s="5"/>
      <c r="P171" s="5"/>
      <c r="Q171" s="163"/>
      <c r="R171" s="90"/>
      <c r="S171" s="163"/>
      <c r="T171" s="164"/>
      <c r="U171" s="163"/>
      <c r="V171" s="164"/>
      <c r="W171" s="164"/>
      <c r="X171" s="165"/>
      <c r="Y171" s="11"/>
      <c r="Z171" s="211"/>
    </row>
    <row r="172" ht="36.0" customHeight="1">
      <c r="A172" s="212" t="s">
        <v>339</v>
      </c>
      <c r="B172" s="213"/>
      <c r="C172" s="214" t="s">
        <v>340</v>
      </c>
      <c r="D172" s="213"/>
      <c r="E172" s="215"/>
      <c r="F172" s="213"/>
      <c r="G172" s="215"/>
      <c r="H172" s="215"/>
      <c r="I172" s="216"/>
      <c r="J172" s="217"/>
      <c r="K172" s="217"/>
      <c r="L172" s="218"/>
      <c r="M172" s="219"/>
      <c r="N172" s="219"/>
      <c r="O172" s="219"/>
      <c r="P172" s="219"/>
      <c r="Q172" s="219"/>
      <c r="R172" s="218"/>
      <c r="S172" s="218"/>
      <c r="T172" s="219"/>
      <c r="U172" s="219"/>
      <c r="V172" s="219"/>
      <c r="W172" s="219"/>
      <c r="X172" s="219"/>
      <c r="Y172" s="219"/>
      <c r="Z172" s="219"/>
    </row>
    <row r="173" ht="24.0" customHeight="1">
      <c r="A173" s="128"/>
      <c r="B173" s="29">
        <v>16.0</v>
      </c>
      <c r="C173" s="220" t="s">
        <v>341</v>
      </c>
      <c r="D173" s="30"/>
      <c r="E173" s="31"/>
      <c r="F173" s="30"/>
      <c r="G173" s="32">
        <f>SUM(G174:G178)</f>
        <v>207229</v>
      </c>
      <c r="H173" s="32">
        <v>0.0</v>
      </c>
      <c r="I173" s="106" t="s">
        <v>342</v>
      </c>
      <c r="J173" s="107">
        <f>G173</f>
        <v>207229</v>
      </c>
      <c r="K173" s="221">
        <f>K168+J173</f>
        <v>2276840.5</v>
      </c>
      <c r="L173" s="222"/>
      <c r="M173" s="222"/>
      <c r="N173" s="222"/>
      <c r="O173" s="222"/>
      <c r="P173" s="222"/>
      <c r="Q173" s="222"/>
      <c r="R173" s="222"/>
      <c r="S173" s="222"/>
      <c r="T173" s="222"/>
      <c r="U173" s="222"/>
      <c r="V173" s="222"/>
      <c r="W173" s="222"/>
      <c r="X173" s="222"/>
      <c r="Y173" s="222"/>
      <c r="Z173" s="222"/>
    </row>
    <row r="174" ht="15.75" customHeight="1">
      <c r="A174" s="36"/>
      <c r="B174" s="161" t="s">
        <v>343</v>
      </c>
      <c r="C174" s="160" t="s">
        <v>344</v>
      </c>
      <c r="D174" s="161" t="s">
        <v>345</v>
      </c>
      <c r="E174" s="91">
        <v>11504.0</v>
      </c>
      <c r="F174" s="161">
        <v>4.0</v>
      </c>
      <c r="G174" s="91">
        <f t="shared" ref="G174:G178" si="23">E174*F174</f>
        <v>46016</v>
      </c>
      <c r="H174" s="91"/>
      <c r="I174" s="179"/>
      <c r="J174" s="92">
        <f>J173</f>
        <v>207229</v>
      </c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ht="15.75" customHeight="1">
      <c r="A175" s="42"/>
      <c r="B175" s="163" t="s">
        <v>334</v>
      </c>
      <c r="C175" s="90" t="s">
        <v>346</v>
      </c>
      <c r="D175" s="163" t="s">
        <v>347</v>
      </c>
      <c r="E175" s="164">
        <v>58530.0</v>
      </c>
      <c r="F175" s="163">
        <v>1.0</v>
      </c>
      <c r="G175" s="164">
        <f t="shared" si="23"/>
        <v>58530</v>
      </c>
      <c r="H175" s="164"/>
      <c r="I175" s="180"/>
      <c r="J175" s="11"/>
      <c r="K175" s="5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42"/>
      <c r="B176" s="163" t="s">
        <v>348</v>
      </c>
      <c r="C176" s="90" t="s">
        <v>349</v>
      </c>
      <c r="D176" s="163" t="s">
        <v>347</v>
      </c>
      <c r="E176" s="164">
        <v>28802.0</v>
      </c>
      <c r="F176" s="163">
        <v>1.0</v>
      </c>
      <c r="G176" s="164">
        <f t="shared" si="23"/>
        <v>28802</v>
      </c>
      <c r="H176" s="164"/>
      <c r="I176" s="180"/>
      <c r="J176" s="11"/>
      <c r="K176" s="5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42"/>
      <c r="B177" s="163" t="s">
        <v>350</v>
      </c>
      <c r="C177" s="90" t="s">
        <v>351</v>
      </c>
      <c r="D177" s="163" t="s">
        <v>352</v>
      </c>
      <c r="E177" s="164">
        <v>46881.0</v>
      </c>
      <c r="F177" s="163">
        <v>1.0</v>
      </c>
      <c r="G177" s="164">
        <f t="shared" si="23"/>
        <v>46881</v>
      </c>
      <c r="H177" s="164"/>
      <c r="I177" s="180"/>
      <c r="J177" s="11"/>
      <c r="K177" s="5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75" customHeight="1">
      <c r="A178" s="1"/>
      <c r="B178" s="168" t="s">
        <v>353</v>
      </c>
      <c r="C178" s="51" t="s">
        <v>354</v>
      </c>
      <c r="D178" s="171" t="s">
        <v>44</v>
      </c>
      <c r="E178" s="169">
        <v>187.5</v>
      </c>
      <c r="F178" s="168">
        <v>144.0</v>
      </c>
      <c r="G178" s="169">
        <f t="shared" si="23"/>
        <v>27000</v>
      </c>
      <c r="H178" s="169"/>
      <c r="I178" s="184"/>
      <c r="J178" s="56"/>
      <c r="K178" s="57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</row>
    <row r="179" ht="27.0" customHeight="1">
      <c r="A179" s="58"/>
      <c r="B179" s="59">
        <v>17.0</v>
      </c>
      <c r="C179" s="60" t="s">
        <v>355</v>
      </c>
      <c r="D179" s="223"/>
      <c r="E179" s="224"/>
      <c r="F179" s="60"/>
      <c r="G179" s="62">
        <f t="shared" ref="G179:H179" si="24">SUM(G180:G203)</f>
        <v>277130.5</v>
      </c>
      <c r="H179" s="62">
        <f t="shared" si="24"/>
        <v>217313.5</v>
      </c>
      <c r="I179" s="63" t="s">
        <v>342</v>
      </c>
      <c r="J179" s="64">
        <f>G179</f>
        <v>277130.5</v>
      </c>
      <c r="K179" s="225">
        <f>K173+J179</f>
        <v>2553971</v>
      </c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</row>
    <row r="180" ht="27.75" customHeight="1">
      <c r="A180" s="36"/>
      <c r="B180" s="161" t="s">
        <v>356</v>
      </c>
      <c r="C180" s="226" t="s">
        <v>357</v>
      </c>
      <c r="D180" s="227" t="s">
        <v>358</v>
      </c>
      <c r="E180" s="228">
        <f>E174</f>
        <v>11504</v>
      </c>
      <c r="F180" s="229">
        <v>4.0</v>
      </c>
      <c r="G180" s="40">
        <f t="shared" ref="G180:G203" si="25">E180*F180</f>
        <v>46016</v>
      </c>
      <c r="H180" s="91">
        <f>G180</f>
        <v>46016</v>
      </c>
      <c r="I180" s="179"/>
      <c r="J180" s="92">
        <f>J179</f>
        <v>277130.5</v>
      </c>
      <c r="K180" s="66"/>
      <c r="L180" s="139"/>
      <c r="M180" s="139"/>
      <c r="N180" s="139"/>
      <c r="O180" s="139"/>
      <c r="P180" s="139"/>
      <c r="Q180" s="139"/>
      <c r="R180" s="139"/>
      <c r="S180" s="139"/>
      <c r="T180" s="139"/>
      <c r="U180" s="139"/>
      <c r="V180" s="139"/>
      <c r="W180" s="139"/>
      <c r="X180" s="139"/>
      <c r="Y180" s="139"/>
      <c r="Z180" s="139"/>
    </row>
    <row r="181" ht="15.75" customHeight="1">
      <c r="A181" s="42"/>
      <c r="B181" s="163" t="s">
        <v>359</v>
      </c>
      <c r="C181" s="230" t="s">
        <v>360</v>
      </c>
      <c r="D181" s="231" t="s">
        <v>163</v>
      </c>
      <c r="E181" s="228">
        <v>10870.0</v>
      </c>
      <c r="F181" s="232">
        <v>2.0</v>
      </c>
      <c r="G181" s="46">
        <f t="shared" si="25"/>
        <v>21740</v>
      </c>
      <c r="H181" s="164"/>
      <c r="I181" s="180"/>
      <c r="J181" s="11"/>
      <c r="K181" s="5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42"/>
      <c r="B182" s="163" t="s">
        <v>361</v>
      </c>
      <c r="C182" s="230" t="s">
        <v>362</v>
      </c>
      <c r="D182" s="231" t="s">
        <v>163</v>
      </c>
      <c r="E182" s="228">
        <v>15760.0</v>
      </c>
      <c r="F182" s="232">
        <v>1.0</v>
      </c>
      <c r="G182" s="46">
        <f t="shared" si="25"/>
        <v>15760</v>
      </c>
      <c r="H182" s="164">
        <f t="shared" ref="H182:H183" si="26">G182</f>
        <v>15760</v>
      </c>
      <c r="I182" s="180"/>
      <c r="J182" s="11"/>
      <c r="K182" s="5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42"/>
      <c r="B183" s="163" t="s">
        <v>363</v>
      </c>
      <c r="C183" s="230" t="s">
        <v>364</v>
      </c>
      <c r="D183" s="163" t="s">
        <v>365</v>
      </c>
      <c r="E183" s="91">
        <v>30000.0</v>
      </c>
      <c r="F183" s="163">
        <v>2.0</v>
      </c>
      <c r="G183" s="164">
        <f t="shared" si="25"/>
        <v>60000</v>
      </c>
      <c r="H183" s="164">
        <f t="shared" si="26"/>
        <v>60000</v>
      </c>
      <c r="I183" s="180"/>
      <c r="J183" s="11"/>
      <c r="K183" s="5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customHeight="1">
      <c r="A184" s="42"/>
      <c r="B184" s="161" t="s">
        <v>366</v>
      </c>
      <c r="C184" s="230" t="s">
        <v>367</v>
      </c>
      <c r="D184" s="163" t="s">
        <v>368</v>
      </c>
      <c r="E184" s="91">
        <v>6922.0</v>
      </c>
      <c r="F184" s="163">
        <v>1.0</v>
      </c>
      <c r="G184" s="164">
        <f t="shared" si="25"/>
        <v>6922</v>
      </c>
      <c r="H184" s="164"/>
      <c r="I184" s="180"/>
      <c r="J184" s="11"/>
      <c r="K184" s="5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5.75" customHeight="1">
      <c r="A185" s="42"/>
      <c r="B185" s="163" t="s">
        <v>369</v>
      </c>
      <c r="C185" s="44" t="s">
        <v>162</v>
      </c>
      <c r="D185" s="45" t="s">
        <v>163</v>
      </c>
      <c r="E185" s="164">
        <v>22087.5</v>
      </c>
      <c r="F185" s="45">
        <v>1.0</v>
      </c>
      <c r="G185" s="46">
        <f t="shared" si="25"/>
        <v>22087.5</v>
      </c>
      <c r="H185" s="164"/>
      <c r="I185" s="41"/>
      <c r="J185" s="11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42"/>
      <c r="B186" s="163" t="s">
        <v>370</v>
      </c>
      <c r="C186" s="44" t="s">
        <v>165</v>
      </c>
      <c r="D186" s="45" t="s">
        <v>163</v>
      </c>
      <c r="E186" s="46">
        <f t="shared" ref="E186:E197" si="27">E75</f>
        <v>25276.25</v>
      </c>
      <c r="F186" s="45">
        <v>1.0</v>
      </c>
      <c r="G186" s="46">
        <f t="shared" si="25"/>
        <v>25276.25</v>
      </c>
      <c r="H186" s="164">
        <f t="shared" ref="H186:H201" si="28">G186</f>
        <v>25276.25</v>
      </c>
      <c r="I186" s="41"/>
      <c r="J186" s="11"/>
      <c r="K186" s="233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42"/>
      <c r="B187" s="163" t="s">
        <v>371</v>
      </c>
      <c r="C187" s="44" t="s">
        <v>167</v>
      </c>
      <c r="D187" s="45" t="s">
        <v>168</v>
      </c>
      <c r="E187" s="46">
        <f t="shared" si="27"/>
        <v>3116.25</v>
      </c>
      <c r="F187" s="45">
        <v>1.0</v>
      </c>
      <c r="G187" s="46">
        <f t="shared" si="25"/>
        <v>3116.25</v>
      </c>
      <c r="H187" s="164">
        <f t="shared" si="28"/>
        <v>3116.25</v>
      </c>
      <c r="I187" s="41"/>
      <c r="J187" s="11"/>
      <c r="K187" s="233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customHeight="1">
      <c r="A188" s="42"/>
      <c r="B188" s="161" t="s">
        <v>372</v>
      </c>
      <c r="C188" s="44" t="s">
        <v>170</v>
      </c>
      <c r="D188" s="45" t="s">
        <v>163</v>
      </c>
      <c r="E188" s="46">
        <f t="shared" si="27"/>
        <v>9177.5</v>
      </c>
      <c r="F188" s="45">
        <v>1.0</v>
      </c>
      <c r="G188" s="46">
        <f t="shared" si="25"/>
        <v>9177.5</v>
      </c>
      <c r="H188" s="164">
        <f t="shared" si="28"/>
        <v>9177.5</v>
      </c>
      <c r="I188" s="41"/>
      <c r="J188" s="11"/>
      <c r="K188" s="233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customHeight="1">
      <c r="A189" s="42"/>
      <c r="B189" s="163" t="s">
        <v>373</v>
      </c>
      <c r="C189" s="44" t="s">
        <v>172</v>
      </c>
      <c r="D189" s="45" t="s">
        <v>61</v>
      </c>
      <c r="E189" s="46">
        <f t="shared" si="27"/>
        <v>5073.75</v>
      </c>
      <c r="F189" s="93">
        <v>1.0</v>
      </c>
      <c r="G189" s="46">
        <f t="shared" si="25"/>
        <v>5073.75</v>
      </c>
      <c r="H189" s="164">
        <f t="shared" si="28"/>
        <v>5073.75</v>
      </c>
      <c r="I189" s="41"/>
      <c r="J189" s="11"/>
      <c r="K189" s="233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75" customHeight="1">
      <c r="A190" s="42"/>
      <c r="B190" s="163" t="s">
        <v>374</v>
      </c>
      <c r="C190" s="44" t="s">
        <v>174</v>
      </c>
      <c r="D190" s="45" t="s">
        <v>175</v>
      </c>
      <c r="E190" s="46">
        <f t="shared" si="27"/>
        <v>15553.75</v>
      </c>
      <c r="F190" s="45">
        <v>1.0</v>
      </c>
      <c r="G190" s="46">
        <f t="shared" si="25"/>
        <v>15553.75</v>
      </c>
      <c r="H190" s="164">
        <f t="shared" si="28"/>
        <v>15553.75</v>
      </c>
      <c r="I190" s="41"/>
      <c r="J190" s="11"/>
      <c r="K190" s="233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42"/>
      <c r="B191" s="163" t="s">
        <v>375</v>
      </c>
      <c r="C191" s="44" t="s">
        <v>177</v>
      </c>
      <c r="D191" s="45" t="s">
        <v>178</v>
      </c>
      <c r="E191" s="46">
        <f t="shared" si="27"/>
        <v>7230</v>
      </c>
      <c r="F191" s="45">
        <v>1.0</v>
      </c>
      <c r="G191" s="46">
        <f t="shared" si="25"/>
        <v>7230</v>
      </c>
      <c r="H191" s="164">
        <f t="shared" si="28"/>
        <v>7230</v>
      </c>
      <c r="I191" s="41"/>
      <c r="J191" s="11"/>
      <c r="K191" s="233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27.75" customHeight="1">
      <c r="A192" s="42"/>
      <c r="B192" s="161" t="s">
        <v>376</v>
      </c>
      <c r="C192" s="44" t="s">
        <v>180</v>
      </c>
      <c r="D192" s="45" t="s">
        <v>181</v>
      </c>
      <c r="E192" s="46">
        <f t="shared" si="27"/>
        <v>1688.75</v>
      </c>
      <c r="F192" s="45">
        <v>1.0</v>
      </c>
      <c r="G192" s="46">
        <f t="shared" si="25"/>
        <v>1688.75</v>
      </c>
      <c r="H192" s="164">
        <f t="shared" si="28"/>
        <v>1688.75</v>
      </c>
      <c r="I192" s="41"/>
      <c r="J192" s="234"/>
      <c r="K192" s="233"/>
      <c r="L192" s="12"/>
      <c r="M192" s="12"/>
      <c r="N192" s="12"/>
      <c r="O192" s="12"/>
      <c r="P192" s="12"/>
      <c r="Q192" s="235"/>
      <c r="R192" s="236"/>
      <c r="S192" s="236"/>
      <c r="T192" s="237"/>
      <c r="U192" s="236"/>
      <c r="V192" s="238"/>
      <c r="W192" s="238"/>
      <c r="X192" s="165"/>
      <c r="Y192" s="11"/>
      <c r="Z192" s="12"/>
    </row>
    <row r="193" ht="15.75" customHeight="1">
      <c r="A193" s="42"/>
      <c r="B193" s="163" t="s">
        <v>377</v>
      </c>
      <c r="C193" s="44" t="s">
        <v>183</v>
      </c>
      <c r="D193" s="45" t="s">
        <v>184</v>
      </c>
      <c r="E193" s="46">
        <f t="shared" si="27"/>
        <v>3587.5</v>
      </c>
      <c r="F193" s="93">
        <v>1.0</v>
      </c>
      <c r="G193" s="46">
        <f t="shared" si="25"/>
        <v>3587.5</v>
      </c>
      <c r="H193" s="164">
        <f t="shared" si="28"/>
        <v>3587.5</v>
      </c>
      <c r="I193" s="41"/>
      <c r="J193" s="11"/>
      <c r="K193" s="233"/>
      <c r="L193" s="12"/>
      <c r="M193" s="12"/>
      <c r="N193" s="12"/>
      <c r="O193" s="12"/>
      <c r="P193" s="12"/>
      <c r="Q193" s="163"/>
      <c r="R193" s="230"/>
      <c r="S193" s="163"/>
      <c r="T193" s="164"/>
      <c r="U193" s="163"/>
      <c r="V193" s="164"/>
      <c r="W193" s="164"/>
      <c r="X193" s="165"/>
      <c r="Y193" s="11"/>
      <c r="Z193" s="12"/>
    </row>
    <row r="194" ht="22.5" customHeight="1">
      <c r="A194" s="42"/>
      <c r="B194" s="163" t="s">
        <v>378</v>
      </c>
      <c r="C194" s="44" t="s">
        <v>122</v>
      </c>
      <c r="D194" s="45" t="s">
        <v>184</v>
      </c>
      <c r="E194" s="46">
        <f t="shared" si="27"/>
        <v>2371.25</v>
      </c>
      <c r="F194" s="93">
        <v>1.0</v>
      </c>
      <c r="G194" s="46">
        <f t="shared" si="25"/>
        <v>2371.25</v>
      </c>
      <c r="H194" s="164">
        <f t="shared" si="28"/>
        <v>2371.25</v>
      </c>
      <c r="I194" s="41"/>
      <c r="J194" s="11"/>
      <c r="K194" s="233"/>
      <c r="L194" s="5"/>
      <c r="M194" s="5"/>
      <c r="N194" s="5"/>
      <c r="O194" s="5"/>
      <c r="P194" s="5"/>
      <c r="Q194" s="163"/>
      <c r="R194" s="230"/>
      <c r="S194" s="163"/>
      <c r="T194" s="164"/>
      <c r="U194" s="163"/>
      <c r="V194" s="164"/>
      <c r="W194" s="238"/>
      <c r="X194" s="165"/>
      <c r="Y194" s="11"/>
      <c r="Z194" s="12"/>
    </row>
    <row r="195" ht="15.75" customHeight="1">
      <c r="A195" s="42"/>
      <c r="B195" s="163" t="s">
        <v>379</v>
      </c>
      <c r="C195" s="44" t="s">
        <v>187</v>
      </c>
      <c r="D195" s="45" t="s">
        <v>188</v>
      </c>
      <c r="E195" s="46">
        <f t="shared" si="27"/>
        <v>1618.75</v>
      </c>
      <c r="F195" s="45">
        <v>1.0</v>
      </c>
      <c r="G195" s="46">
        <f t="shared" si="25"/>
        <v>1618.75</v>
      </c>
      <c r="H195" s="164">
        <f t="shared" si="28"/>
        <v>1618.75</v>
      </c>
      <c r="I195" s="41"/>
      <c r="J195" s="11"/>
      <c r="K195" s="233"/>
      <c r="L195" s="5"/>
      <c r="M195" s="5"/>
      <c r="N195" s="5"/>
      <c r="O195" s="5"/>
      <c r="P195" s="5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42"/>
      <c r="B196" s="161" t="s">
        <v>380</v>
      </c>
      <c r="C196" s="44" t="s">
        <v>190</v>
      </c>
      <c r="D196" s="45" t="s">
        <v>168</v>
      </c>
      <c r="E196" s="46">
        <f t="shared" si="27"/>
        <v>4695</v>
      </c>
      <c r="F196" s="45">
        <v>1.0</v>
      </c>
      <c r="G196" s="46">
        <f t="shared" si="25"/>
        <v>4695</v>
      </c>
      <c r="H196" s="164">
        <f t="shared" si="28"/>
        <v>4695</v>
      </c>
      <c r="I196" s="41"/>
      <c r="J196" s="11"/>
      <c r="K196" s="233"/>
      <c r="L196" s="5"/>
      <c r="M196" s="5"/>
      <c r="N196" s="5"/>
      <c r="O196" s="5"/>
      <c r="P196" s="5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42"/>
      <c r="B197" s="163" t="s">
        <v>381</v>
      </c>
      <c r="C197" s="44" t="s">
        <v>192</v>
      </c>
      <c r="D197" s="45" t="s">
        <v>193</v>
      </c>
      <c r="E197" s="46">
        <f t="shared" si="27"/>
        <v>1635</v>
      </c>
      <c r="F197" s="45">
        <v>1.0</v>
      </c>
      <c r="G197" s="46">
        <f t="shared" si="25"/>
        <v>1635</v>
      </c>
      <c r="H197" s="164">
        <f t="shared" si="28"/>
        <v>1635</v>
      </c>
      <c r="I197" s="41"/>
      <c r="J197" s="11"/>
      <c r="K197" s="233"/>
      <c r="L197" s="5"/>
      <c r="M197" s="5"/>
      <c r="N197" s="5"/>
      <c r="O197" s="5"/>
      <c r="P197" s="5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27.75" customHeight="1">
      <c r="A198" s="42"/>
      <c r="B198" s="163" t="s">
        <v>382</v>
      </c>
      <c r="C198" s="44" t="s">
        <v>383</v>
      </c>
      <c r="D198" s="45" t="s">
        <v>44</v>
      </c>
      <c r="E198" s="46">
        <v>162.5</v>
      </c>
      <c r="F198" s="45">
        <v>42.0</v>
      </c>
      <c r="G198" s="46">
        <f t="shared" si="25"/>
        <v>6825</v>
      </c>
      <c r="H198" s="164">
        <f t="shared" si="28"/>
        <v>6825</v>
      </c>
      <c r="I198" s="41"/>
      <c r="J198" s="11"/>
      <c r="K198" s="233"/>
      <c r="L198" s="5"/>
      <c r="M198" s="5"/>
      <c r="N198" s="5"/>
      <c r="O198" s="5"/>
      <c r="P198" s="5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42"/>
      <c r="B199" s="163" t="s">
        <v>384</v>
      </c>
      <c r="C199" s="44" t="s">
        <v>197</v>
      </c>
      <c r="D199" s="45" t="s">
        <v>44</v>
      </c>
      <c r="E199" s="46">
        <v>162.5</v>
      </c>
      <c r="F199" s="45">
        <v>16.0</v>
      </c>
      <c r="G199" s="46">
        <f t="shared" si="25"/>
        <v>2600</v>
      </c>
      <c r="H199" s="164">
        <f t="shared" si="28"/>
        <v>2600</v>
      </c>
      <c r="I199" s="41"/>
      <c r="J199" s="11"/>
      <c r="K199" s="233"/>
      <c r="L199" s="5"/>
      <c r="M199" s="5"/>
      <c r="N199" s="5"/>
      <c r="O199" s="5"/>
      <c r="P199" s="5"/>
      <c r="Q199" s="235"/>
      <c r="R199" s="236"/>
      <c r="S199" s="236"/>
      <c r="T199" s="237"/>
      <c r="U199" s="236"/>
      <c r="V199" s="238"/>
      <c r="W199" s="238"/>
      <c r="X199" s="239"/>
      <c r="Y199" s="11"/>
      <c r="Z199" s="11"/>
    </row>
    <row r="200" ht="15.75" customHeight="1">
      <c r="A200" s="42"/>
      <c r="B200" s="161" t="s">
        <v>385</v>
      </c>
      <c r="C200" s="44" t="s">
        <v>199</v>
      </c>
      <c r="D200" s="45" t="s">
        <v>44</v>
      </c>
      <c r="E200" s="46">
        <v>3863.75</v>
      </c>
      <c r="F200" s="45">
        <v>1.0</v>
      </c>
      <c r="G200" s="46">
        <f t="shared" si="25"/>
        <v>3863.75</v>
      </c>
      <c r="H200" s="164">
        <f t="shared" si="28"/>
        <v>3863.75</v>
      </c>
      <c r="I200" s="41"/>
      <c r="J200" s="11"/>
      <c r="K200" s="233"/>
      <c r="L200" s="5"/>
      <c r="M200" s="5"/>
      <c r="N200" s="5"/>
      <c r="O200" s="5"/>
      <c r="P200" s="5"/>
      <c r="Q200" s="163"/>
      <c r="R200" s="90"/>
      <c r="S200" s="163"/>
      <c r="T200" s="164"/>
      <c r="U200" s="163"/>
      <c r="V200" s="164"/>
      <c r="W200" s="164"/>
      <c r="X200" s="240"/>
      <c r="Y200" s="11"/>
      <c r="Z200" s="12"/>
    </row>
    <row r="201" ht="15.75" customHeight="1">
      <c r="A201" s="42"/>
      <c r="B201" s="163" t="s">
        <v>386</v>
      </c>
      <c r="C201" s="44" t="s">
        <v>201</v>
      </c>
      <c r="D201" s="45" t="s">
        <v>202</v>
      </c>
      <c r="E201" s="46">
        <v>612.5</v>
      </c>
      <c r="F201" s="45">
        <v>2.0</v>
      </c>
      <c r="G201" s="46">
        <f t="shared" si="25"/>
        <v>1225</v>
      </c>
      <c r="H201" s="164">
        <f t="shared" si="28"/>
        <v>1225</v>
      </c>
      <c r="I201" s="41"/>
      <c r="J201" s="11"/>
      <c r="K201" s="233"/>
      <c r="L201" s="5"/>
      <c r="M201" s="5"/>
      <c r="N201" s="5"/>
      <c r="O201" s="5"/>
      <c r="P201" s="5"/>
      <c r="Q201" s="163"/>
      <c r="R201" s="90"/>
      <c r="S201" s="163"/>
      <c r="T201" s="164"/>
      <c r="U201" s="163"/>
      <c r="V201" s="164"/>
      <c r="W201" s="164"/>
      <c r="X201" s="240"/>
      <c r="Y201" s="12"/>
      <c r="Z201" s="12"/>
    </row>
    <row r="202" ht="15.75" customHeight="1">
      <c r="A202" s="42"/>
      <c r="B202" s="163" t="s">
        <v>387</v>
      </c>
      <c r="C202" s="44" t="s">
        <v>388</v>
      </c>
      <c r="D202" s="45" t="s">
        <v>133</v>
      </c>
      <c r="E202" s="46">
        <v>7692.5</v>
      </c>
      <c r="F202" s="45">
        <v>1.0</v>
      </c>
      <c r="G202" s="46">
        <f t="shared" si="25"/>
        <v>7692.5</v>
      </c>
      <c r="H202" s="164"/>
      <c r="I202" s="41"/>
      <c r="J202" s="11"/>
      <c r="K202" s="12"/>
      <c r="L202" s="5"/>
      <c r="M202" s="5"/>
      <c r="N202" s="5"/>
      <c r="O202" s="5"/>
      <c r="P202" s="5"/>
      <c r="Q202" s="235"/>
      <c r="R202" s="236"/>
      <c r="S202" s="236"/>
      <c r="T202" s="237"/>
      <c r="U202" s="236"/>
      <c r="V202" s="238"/>
      <c r="W202" s="238"/>
      <c r="X202" s="239"/>
      <c r="Y202" s="11"/>
      <c r="Z202" s="11"/>
    </row>
    <row r="203" ht="15.75" customHeight="1">
      <c r="A203" s="1"/>
      <c r="B203" s="163" t="s">
        <v>389</v>
      </c>
      <c r="C203" s="51" t="s">
        <v>88</v>
      </c>
      <c r="D203" s="52" t="s">
        <v>44</v>
      </c>
      <c r="E203" s="53">
        <v>137.5</v>
      </c>
      <c r="F203" s="52">
        <v>10.0</v>
      </c>
      <c r="G203" s="53">
        <f t="shared" si="25"/>
        <v>1375</v>
      </c>
      <c r="H203" s="169"/>
      <c r="I203" s="73"/>
      <c r="J203" s="56"/>
      <c r="K203" s="129"/>
      <c r="L203" s="57"/>
      <c r="M203" s="57"/>
      <c r="N203" s="57"/>
      <c r="O203" s="57"/>
      <c r="P203" s="57"/>
      <c r="Q203" s="168"/>
      <c r="R203" s="51"/>
      <c r="S203" s="168"/>
      <c r="T203" s="169"/>
      <c r="U203" s="168"/>
      <c r="V203" s="169"/>
      <c r="W203" s="169"/>
      <c r="X203" s="170"/>
      <c r="Y203" s="56"/>
      <c r="Z203" s="129"/>
    </row>
    <row r="204" ht="31.5" customHeight="1">
      <c r="A204" s="210" t="s">
        <v>390</v>
      </c>
      <c r="B204" s="98"/>
      <c r="C204" s="99" t="s">
        <v>391</v>
      </c>
      <c r="D204" s="98"/>
      <c r="E204" s="100"/>
      <c r="F204" s="98"/>
      <c r="G204" s="100"/>
      <c r="H204" s="101">
        <f>SUM(G173,G179)</f>
        <v>484359.5</v>
      </c>
      <c r="I204" s="41"/>
      <c r="J204" s="4"/>
      <c r="K204" s="5"/>
      <c r="L204" s="5"/>
      <c r="M204" s="5"/>
      <c r="N204" s="5"/>
      <c r="O204" s="5"/>
      <c r="P204" s="5"/>
      <c r="Q204" s="163"/>
      <c r="R204" s="90"/>
      <c r="S204" s="163"/>
      <c r="T204" s="164"/>
      <c r="U204" s="163"/>
      <c r="V204" s="164"/>
      <c r="W204" s="164"/>
      <c r="X204" s="165"/>
      <c r="Y204" s="11"/>
      <c r="Z204" s="211"/>
    </row>
    <row r="205" ht="27.75" customHeight="1">
      <c r="A205" s="128"/>
      <c r="B205" s="29">
        <v>18.0</v>
      </c>
      <c r="C205" s="30" t="s">
        <v>392</v>
      </c>
      <c r="D205" s="30"/>
      <c r="E205" s="31"/>
      <c r="F205" s="30"/>
      <c r="G205" s="32">
        <f t="shared" ref="G205:H205" si="29">SUM(G206:G209)</f>
        <v>78273.75</v>
      </c>
      <c r="H205" s="32">
        <f t="shared" si="29"/>
        <v>0</v>
      </c>
      <c r="I205" s="106" t="s">
        <v>393</v>
      </c>
      <c r="J205" s="107">
        <f>G205</f>
        <v>78273.75</v>
      </c>
      <c r="K205" s="108">
        <f>K179+J205</f>
        <v>2632244.75</v>
      </c>
      <c r="L205" s="67"/>
      <c r="M205" s="67"/>
      <c r="N205" s="67"/>
      <c r="O205" s="67"/>
      <c r="P205" s="67"/>
      <c r="Q205" s="241"/>
      <c r="R205" s="242"/>
      <c r="S205" s="241"/>
      <c r="T205" s="243"/>
      <c r="U205" s="241"/>
      <c r="V205" s="243"/>
      <c r="W205" s="243"/>
      <c r="X205" s="244"/>
      <c r="Y205" s="222"/>
      <c r="Z205" s="209"/>
    </row>
    <row r="206" ht="15.75" customHeight="1">
      <c r="A206" s="36"/>
      <c r="B206" s="39" t="s">
        <v>394</v>
      </c>
      <c r="C206" s="38" t="s">
        <v>395</v>
      </c>
      <c r="D206" s="39" t="s">
        <v>214</v>
      </c>
      <c r="E206" s="40">
        <f t="shared" ref="E206:E209" si="30">E95</f>
        <v>40388.75</v>
      </c>
      <c r="F206" s="39">
        <v>1.0</v>
      </c>
      <c r="G206" s="40">
        <f t="shared" ref="G206:G209" si="31">E206*F206</f>
        <v>40388.75</v>
      </c>
      <c r="H206" s="40"/>
      <c r="I206" s="68"/>
      <c r="J206" s="92">
        <f>J205</f>
        <v>78273.75</v>
      </c>
      <c r="K206" s="139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ht="27.75" customHeight="1">
      <c r="A207" s="42"/>
      <c r="B207" s="45" t="s">
        <v>396</v>
      </c>
      <c r="C207" s="44" t="s">
        <v>397</v>
      </c>
      <c r="D207" s="45" t="s">
        <v>44</v>
      </c>
      <c r="E207" s="46">
        <f t="shared" si="30"/>
        <v>30822.5</v>
      </c>
      <c r="F207" s="45">
        <v>1.0</v>
      </c>
      <c r="G207" s="46">
        <f t="shared" si="31"/>
        <v>30822.5</v>
      </c>
      <c r="H207" s="46"/>
      <c r="I207" s="41"/>
      <c r="J207" s="11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42"/>
      <c r="B208" s="45" t="s">
        <v>398</v>
      </c>
      <c r="C208" s="44" t="s">
        <v>218</v>
      </c>
      <c r="D208" s="45" t="s">
        <v>44</v>
      </c>
      <c r="E208" s="46">
        <f t="shared" si="30"/>
        <v>162.5</v>
      </c>
      <c r="F208" s="45">
        <v>35.0</v>
      </c>
      <c r="G208" s="46">
        <f t="shared" si="31"/>
        <v>5687.5</v>
      </c>
      <c r="H208" s="46"/>
      <c r="I208" s="41"/>
      <c r="J208" s="11"/>
      <c r="K208" s="12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1"/>
      <c r="B209" s="52" t="s">
        <v>399</v>
      </c>
      <c r="C209" s="51" t="s">
        <v>88</v>
      </c>
      <c r="D209" s="52" t="s">
        <v>44</v>
      </c>
      <c r="E209" s="53">
        <f t="shared" si="30"/>
        <v>137.5</v>
      </c>
      <c r="F209" s="52">
        <v>10.0</v>
      </c>
      <c r="G209" s="53">
        <f t="shared" si="31"/>
        <v>1375</v>
      </c>
      <c r="H209" s="53"/>
      <c r="I209" s="73"/>
      <c r="J209" s="56"/>
      <c r="K209" s="129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 ht="24.75" customHeight="1">
      <c r="A210" s="58"/>
      <c r="B210" s="59">
        <v>19.0</v>
      </c>
      <c r="C210" s="60" t="s">
        <v>400</v>
      </c>
      <c r="D210" s="60"/>
      <c r="E210" s="61"/>
      <c r="F210" s="60"/>
      <c r="G210" s="62">
        <f>SUM(G211:G215)</f>
        <v>20465.625</v>
      </c>
      <c r="H210" s="62">
        <f>SUM(H211:H214)</f>
        <v>0</v>
      </c>
      <c r="I210" s="63" t="s">
        <v>393</v>
      </c>
      <c r="J210" s="64">
        <f>G210</f>
        <v>20465.625</v>
      </c>
      <c r="K210" s="65">
        <f>K205+J210</f>
        <v>2652710.375</v>
      </c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ht="15.75" customHeight="1">
      <c r="A211" s="36"/>
      <c r="B211" s="39" t="s">
        <v>401</v>
      </c>
      <c r="C211" s="38" t="s">
        <v>402</v>
      </c>
      <c r="D211" s="39" t="s">
        <v>229</v>
      </c>
      <c r="E211" s="40">
        <f t="shared" ref="E211:E212" si="32">E103</f>
        <v>53.75</v>
      </c>
      <c r="F211" s="39">
        <f t="shared" ref="F211:F212" si="33">F103/2</f>
        <v>25</v>
      </c>
      <c r="G211" s="40">
        <f t="shared" ref="G211:G215" si="34">E211*F211</f>
        <v>1343.75</v>
      </c>
      <c r="H211" s="40"/>
      <c r="I211" s="68"/>
      <c r="J211" s="69">
        <f>J210</f>
        <v>20465.625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ht="15.75" customHeight="1">
      <c r="A212" s="42"/>
      <c r="B212" s="45" t="s">
        <v>403</v>
      </c>
      <c r="C212" s="44" t="s">
        <v>404</v>
      </c>
      <c r="D212" s="45" t="s">
        <v>44</v>
      </c>
      <c r="E212" s="46">
        <f t="shared" si="32"/>
        <v>187.5</v>
      </c>
      <c r="F212" s="45">
        <f t="shared" si="33"/>
        <v>60</v>
      </c>
      <c r="G212" s="46">
        <f t="shared" si="34"/>
        <v>11250</v>
      </c>
      <c r="H212" s="46"/>
      <c r="I212" s="41"/>
      <c r="J212" s="4"/>
      <c r="K212" s="12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42"/>
      <c r="B213" s="45" t="s">
        <v>405</v>
      </c>
      <c r="C213" s="44" t="s">
        <v>406</v>
      </c>
      <c r="D213" s="45" t="s">
        <v>234</v>
      </c>
      <c r="E213" s="46">
        <f t="shared" ref="E213:E214" si="35">E105/2</f>
        <v>4101.25</v>
      </c>
      <c r="F213" s="45">
        <f t="shared" ref="F213:F214" si="36">F105</f>
        <v>1</v>
      </c>
      <c r="G213" s="46">
        <f t="shared" si="34"/>
        <v>4101.25</v>
      </c>
      <c r="H213" s="46"/>
      <c r="I213" s="41"/>
      <c r="J213" s="4"/>
      <c r="K213" s="12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42"/>
      <c r="B214" s="45" t="s">
        <v>407</v>
      </c>
      <c r="C214" s="90" t="s">
        <v>236</v>
      </c>
      <c r="D214" s="45" t="s">
        <v>44</v>
      </c>
      <c r="E214" s="46">
        <f t="shared" si="35"/>
        <v>3083.125</v>
      </c>
      <c r="F214" s="45">
        <f t="shared" si="36"/>
        <v>1</v>
      </c>
      <c r="G214" s="46">
        <f t="shared" si="34"/>
        <v>3083.125</v>
      </c>
      <c r="H214" s="46"/>
      <c r="I214" s="41"/>
      <c r="J214" s="4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1"/>
      <c r="B215" s="52" t="s">
        <v>408</v>
      </c>
      <c r="C215" s="51" t="s">
        <v>88</v>
      </c>
      <c r="D215" s="52" t="s">
        <v>44</v>
      </c>
      <c r="E215" s="53">
        <f>E107</f>
        <v>137.5</v>
      </c>
      <c r="F215" s="52">
        <f>F107/2</f>
        <v>5</v>
      </c>
      <c r="G215" s="53">
        <f t="shared" si="34"/>
        <v>687.5</v>
      </c>
      <c r="H215" s="53"/>
      <c r="I215" s="73"/>
      <c r="J215" s="74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 ht="29.25" customHeight="1">
      <c r="A216" s="210" t="s">
        <v>409</v>
      </c>
      <c r="B216" s="98"/>
      <c r="C216" s="99" t="s">
        <v>410</v>
      </c>
      <c r="D216" s="98"/>
      <c r="E216" s="100"/>
      <c r="F216" s="98"/>
      <c r="G216" s="100"/>
      <c r="H216" s="101">
        <f>SUM(G205,G210)</f>
        <v>98739.375</v>
      </c>
      <c r="I216" s="41"/>
      <c r="J216" s="4"/>
      <c r="K216" s="5"/>
      <c r="L216" s="5"/>
      <c r="M216" s="5"/>
      <c r="N216" s="5"/>
      <c r="O216" s="5"/>
      <c r="P216" s="5"/>
      <c r="Q216" s="163"/>
      <c r="R216" s="90"/>
      <c r="S216" s="163"/>
      <c r="T216" s="164"/>
      <c r="U216" s="163"/>
      <c r="V216" s="164"/>
      <c r="W216" s="164"/>
      <c r="X216" s="165"/>
      <c r="Y216" s="11"/>
      <c r="Z216" s="57"/>
    </row>
    <row r="217" ht="27.75" customHeight="1">
      <c r="A217" s="128"/>
      <c r="B217" s="29">
        <v>20.0</v>
      </c>
      <c r="C217" s="30" t="s">
        <v>411</v>
      </c>
      <c r="D217" s="30"/>
      <c r="E217" s="31"/>
      <c r="F217" s="30"/>
      <c r="G217" s="32">
        <f>SUM(G218:G223)</f>
        <v>166873.75</v>
      </c>
      <c r="H217" s="32">
        <f>SUM(H219:H223)</f>
        <v>0</v>
      </c>
      <c r="I217" s="106" t="s">
        <v>393</v>
      </c>
      <c r="J217" s="107">
        <f>G217</f>
        <v>166873.75</v>
      </c>
      <c r="K217" s="108">
        <f>K210+J217</f>
        <v>2819584.125</v>
      </c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ht="30.0" customHeight="1">
      <c r="A218" s="36"/>
      <c r="B218" s="39" t="s">
        <v>412</v>
      </c>
      <c r="C218" s="38" t="s">
        <v>413</v>
      </c>
      <c r="D218" s="39" t="s">
        <v>44</v>
      </c>
      <c r="E218" s="40">
        <f t="shared" ref="E218:F218" si="37">E139</f>
        <v>137.5</v>
      </c>
      <c r="F218" s="39">
        <f t="shared" si="37"/>
        <v>40</v>
      </c>
      <c r="G218" s="40">
        <f t="shared" ref="G218:G223" si="38">E218*F218</f>
        <v>5500</v>
      </c>
      <c r="H218" s="40"/>
      <c r="I218" s="68"/>
      <c r="J218" s="92">
        <f>J217</f>
        <v>166873.75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ht="15.75" customHeight="1">
      <c r="A219" s="42"/>
      <c r="B219" s="45" t="s">
        <v>414</v>
      </c>
      <c r="C219" s="44" t="s">
        <v>415</v>
      </c>
      <c r="D219" s="45" t="s">
        <v>245</v>
      </c>
      <c r="E219" s="46">
        <f t="shared" ref="E219:E223" si="39">E140</f>
        <v>1130</v>
      </c>
      <c r="F219" s="45">
        <v>45.0</v>
      </c>
      <c r="G219" s="46">
        <f t="shared" si="38"/>
        <v>50850</v>
      </c>
      <c r="H219" s="46"/>
      <c r="I219" s="41"/>
      <c r="J219" s="11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42"/>
      <c r="B220" s="45" t="s">
        <v>416</v>
      </c>
      <c r="C220" s="44" t="s">
        <v>417</v>
      </c>
      <c r="D220" s="45" t="s">
        <v>44</v>
      </c>
      <c r="E220" s="46">
        <f t="shared" si="39"/>
        <v>187.5</v>
      </c>
      <c r="F220" s="45">
        <f t="shared" ref="F220:F223" si="40">F141</f>
        <v>480</v>
      </c>
      <c r="G220" s="46">
        <f t="shared" si="38"/>
        <v>90000</v>
      </c>
      <c r="H220" s="46"/>
      <c r="I220" s="41"/>
      <c r="J220" s="11"/>
      <c r="K220" s="12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27.75" customHeight="1">
      <c r="A221" s="42"/>
      <c r="B221" s="45" t="s">
        <v>418</v>
      </c>
      <c r="C221" s="44" t="s">
        <v>419</v>
      </c>
      <c r="D221" s="45" t="s">
        <v>44</v>
      </c>
      <c r="E221" s="46">
        <f t="shared" si="39"/>
        <v>4216.25</v>
      </c>
      <c r="F221" s="45">
        <f t="shared" si="40"/>
        <v>3</v>
      </c>
      <c r="G221" s="46">
        <f t="shared" si="38"/>
        <v>12648.75</v>
      </c>
      <c r="H221" s="46"/>
      <c r="I221" s="41"/>
      <c r="J221" s="11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42"/>
      <c r="B222" s="45" t="s">
        <v>420</v>
      </c>
      <c r="C222" s="44" t="s">
        <v>421</v>
      </c>
      <c r="D222" s="45" t="s">
        <v>18</v>
      </c>
      <c r="E222" s="46">
        <f t="shared" si="39"/>
        <v>162.5</v>
      </c>
      <c r="F222" s="45">
        <f t="shared" si="40"/>
        <v>40</v>
      </c>
      <c r="G222" s="46">
        <f t="shared" si="38"/>
        <v>6500</v>
      </c>
      <c r="H222" s="166"/>
      <c r="I222" s="41"/>
      <c r="J222" s="11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1"/>
      <c r="B223" s="52" t="s">
        <v>422</v>
      </c>
      <c r="C223" s="51" t="s">
        <v>88</v>
      </c>
      <c r="D223" s="52" t="s">
        <v>44</v>
      </c>
      <c r="E223" s="53">
        <f t="shared" si="39"/>
        <v>137.5</v>
      </c>
      <c r="F223" s="52">
        <f t="shared" si="40"/>
        <v>10</v>
      </c>
      <c r="G223" s="53">
        <f t="shared" si="38"/>
        <v>1375</v>
      </c>
      <c r="H223" s="53"/>
      <c r="I223" s="73"/>
      <c r="J223" s="56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 ht="27.75" customHeight="1">
      <c r="A224" s="58"/>
      <c r="B224" s="59">
        <v>21.0</v>
      </c>
      <c r="C224" s="60" t="s">
        <v>423</v>
      </c>
      <c r="D224" s="60"/>
      <c r="E224" s="61"/>
      <c r="F224" s="60"/>
      <c r="G224" s="62">
        <f t="shared" ref="G224:H224" si="41">SUM(G225:G226)</f>
        <v>36612.5</v>
      </c>
      <c r="H224" s="62">
        <f t="shared" si="41"/>
        <v>11119.375</v>
      </c>
      <c r="I224" s="63" t="s">
        <v>221</v>
      </c>
      <c r="J224" s="64">
        <f>G224</f>
        <v>36612.5</v>
      </c>
      <c r="K224" s="245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ht="15.75" customHeight="1">
      <c r="A225" s="36"/>
      <c r="B225" s="39" t="s">
        <v>424</v>
      </c>
      <c r="C225" s="38" t="s">
        <v>425</v>
      </c>
      <c r="D225" s="39" t="s">
        <v>426</v>
      </c>
      <c r="E225" s="40">
        <v>34540.0</v>
      </c>
      <c r="F225" s="39">
        <v>1.0</v>
      </c>
      <c r="G225" s="40">
        <f t="shared" ref="G225:G226" si="42">E225*F225</f>
        <v>34540</v>
      </c>
      <c r="H225" s="40">
        <v>8541.25</v>
      </c>
      <c r="I225" s="68"/>
      <c r="J225" s="69">
        <f>J224</f>
        <v>36612.5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ht="15.75" customHeight="1">
      <c r="A226" s="1"/>
      <c r="B226" s="52" t="s">
        <v>427</v>
      </c>
      <c r="C226" s="89" t="s">
        <v>428</v>
      </c>
      <c r="D226" s="52" t="s">
        <v>44</v>
      </c>
      <c r="E226" s="53">
        <v>2072.5</v>
      </c>
      <c r="F226" s="52">
        <v>1.0</v>
      </c>
      <c r="G226" s="53">
        <f t="shared" si="42"/>
        <v>2072.5</v>
      </c>
      <c r="H226" s="53">
        <v>2578.125</v>
      </c>
      <c r="I226" s="73"/>
      <c r="J226" s="74"/>
      <c r="K226" s="57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</row>
    <row r="227" ht="30.0" customHeight="1">
      <c r="A227" s="210" t="s">
        <v>429</v>
      </c>
      <c r="B227" s="98"/>
      <c r="C227" s="99" t="s">
        <v>430</v>
      </c>
      <c r="D227" s="98"/>
      <c r="E227" s="100"/>
      <c r="F227" s="98"/>
      <c r="G227" s="100"/>
      <c r="H227" s="101">
        <f>SUM(G217,G224)</f>
        <v>203486.25</v>
      </c>
      <c r="I227" s="41"/>
      <c r="J227" s="4"/>
      <c r="K227" s="5"/>
      <c r="L227" s="5"/>
      <c r="M227" s="5"/>
      <c r="N227" s="5"/>
      <c r="O227" s="5"/>
      <c r="P227" s="5"/>
      <c r="Q227" s="163"/>
      <c r="R227" s="90"/>
      <c r="S227" s="163"/>
      <c r="T227" s="164"/>
      <c r="U227" s="163"/>
      <c r="V227" s="164"/>
      <c r="W227" s="164"/>
      <c r="X227" s="165"/>
      <c r="Y227" s="11"/>
      <c r="Z227" s="129"/>
    </row>
    <row r="228" ht="39.75" customHeight="1">
      <c r="A228" s="246" t="s">
        <v>431</v>
      </c>
      <c r="B228" s="247"/>
      <c r="C228" s="248" t="s">
        <v>432</v>
      </c>
      <c r="D228" s="247"/>
      <c r="E228" s="249"/>
      <c r="F228" s="247"/>
      <c r="G228" s="250">
        <f>SUM(G173:G226)/2</f>
        <v>786585.125</v>
      </c>
      <c r="H228" s="249"/>
      <c r="I228" s="251"/>
      <c r="J228" s="252">
        <f>SUM(J5:J226)/2</f>
        <v>3579219</v>
      </c>
      <c r="K228" s="253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ht="42.0" customHeight="1">
      <c r="A229" s="246" t="s">
        <v>433</v>
      </c>
      <c r="B229" s="247"/>
      <c r="C229" s="248" t="s">
        <v>434</v>
      </c>
      <c r="D229" s="247"/>
      <c r="E229" s="249"/>
      <c r="F229" s="247"/>
      <c r="G229" s="254">
        <f>G228+G170</f>
        <v>2998844.125</v>
      </c>
      <c r="H229" s="249"/>
      <c r="I229" s="255" t="s">
        <v>435</v>
      </c>
      <c r="J229" s="256">
        <f>SUM(H93,H101,H118,H137,H145,H158,H171,H204,H216,H227)</f>
        <v>2998844.125</v>
      </c>
      <c r="K229" s="257" t="s">
        <v>436</v>
      </c>
      <c r="L229" s="179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ht="64.5" customHeight="1">
      <c r="A230" s="258"/>
      <c r="B230" s="259"/>
      <c r="C230" s="259"/>
      <c r="D230" s="259"/>
      <c r="E230" s="259"/>
      <c r="F230" s="259"/>
      <c r="G230" s="259"/>
      <c r="H230" s="259"/>
      <c r="I230" s="260"/>
      <c r="J230" s="261"/>
      <c r="K230" s="262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 ht="49.5" customHeight="1">
      <c r="A231" s="6"/>
      <c r="B231" s="263"/>
      <c r="C231" s="264" t="s">
        <v>437</v>
      </c>
      <c r="D231" s="263"/>
      <c r="E231" s="265"/>
      <c r="F231" s="263"/>
      <c r="G231" s="265"/>
      <c r="H231" s="265"/>
      <c r="I231" s="266"/>
      <c r="J231" s="267"/>
      <c r="K231" s="267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</row>
    <row r="232" ht="27.0" customHeight="1">
      <c r="A232" s="110"/>
      <c r="B232" s="111">
        <v>20.0</v>
      </c>
      <c r="C232" s="112" t="s">
        <v>438</v>
      </c>
      <c r="D232" s="268"/>
      <c r="E232" s="113"/>
      <c r="F232" s="112"/>
      <c r="G232" s="114">
        <f>SUM(G233:G236)</f>
        <v>191771</v>
      </c>
      <c r="H232" s="114">
        <f>SUM(H236)</f>
        <v>0</v>
      </c>
      <c r="I232" s="115" t="s">
        <v>221</v>
      </c>
      <c r="J232" s="116">
        <f>J234+J236</f>
        <v>191771</v>
      </c>
      <c r="K232" s="117">
        <f>K222+J232</f>
        <v>191771</v>
      </c>
      <c r="L232" s="269"/>
      <c r="M232" s="118"/>
      <c r="N232" s="118"/>
      <c r="O232" s="118"/>
      <c r="P232" s="118"/>
      <c r="Q232" s="118"/>
      <c r="R232" s="118"/>
      <c r="S232" s="118"/>
      <c r="T232" s="12"/>
      <c r="U232" s="12"/>
      <c r="V232" s="12"/>
      <c r="W232" s="12"/>
      <c r="X232" s="12"/>
      <c r="Y232" s="12"/>
      <c r="Z232" s="12"/>
    </row>
    <row r="233" ht="15.75" customHeight="1">
      <c r="A233" s="36"/>
      <c r="B233" s="45" t="s">
        <v>439</v>
      </c>
      <c r="C233" s="226" t="s">
        <v>440</v>
      </c>
      <c r="D233" s="45" t="s">
        <v>44</v>
      </c>
      <c r="E233" s="91">
        <v>53260.0</v>
      </c>
      <c r="F233" s="161">
        <v>1.0</v>
      </c>
      <c r="G233" s="40">
        <f t="shared" ref="G233:G236" si="43">E233*F233</f>
        <v>53260</v>
      </c>
      <c r="H233" s="91"/>
      <c r="I233" s="179"/>
      <c r="J233" s="69"/>
      <c r="K233" s="66"/>
      <c r="L233" s="270"/>
      <c r="M233" s="271"/>
      <c r="N233" s="271"/>
      <c r="O233" s="271"/>
      <c r="P233" s="271"/>
      <c r="Q233" s="271"/>
      <c r="R233" s="272"/>
      <c r="S233" s="272"/>
      <c r="T233" s="12"/>
      <c r="U233" s="12"/>
      <c r="V233" s="12"/>
      <c r="W233" s="12"/>
      <c r="X233" s="12"/>
      <c r="Y233" s="12"/>
      <c r="Z233" s="12"/>
    </row>
    <row r="234" ht="15.75" customHeight="1">
      <c r="A234" s="36"/>
      <c r="B234" s="45" t="s">
        <v>441</v>
      </c>
      <c r="C234" s="226" t="s">
        <v>442</v>
      </c>
      <c r="D234" s="39" t="s">
        <v>44</v>
      </c>
      <c r="E234" s="91">
        <v>26189.0</v>
      </c>
      <c r="F234" s="161">
        <v>1.0</v>
      </c>
      <c r="G234" s="40">
        <f t="shared" si="43"/>
        <v>26189</v>
      </c>
      <c r="H234" s="91"/>
      <c r="I234" s="179"/>
      <c r="J234" s="69">
        <f>G233+G234</f>
        <v>79449</v>
      </c>
      <c r="K234" s="66"/>
      <c r="L234" s="270"/>
      <c r="M234" s="96"/>
      <c r="N234" s="96"/>
      <c r="O234" s="96"/>
      <c r="P234" s="96"/>
      <c r="Q234" s="96"/>
      <c r="R234" s="272"/>
      <c r="S234" s="272"/>
      <c r="T234" s="12"/>
      <c r="U234" s="12"/>
      <c r="V234" s="12"/>
      <c r="W234" s="12"/>
      <c r="X234" s="12"/>
      <c r="Y234" s="12"/>
      <c r="Z234" s="12"/>
    </row>
    <row r="235" ht="15.75" customHeight="1">
      <c r="A235" s="36"/>
      <c r="B235" s="45" t="s">
        <v>443</v>
      </c>
      <c r="C235" s="38" t="s">
        <v>444</v>
      </c>
      <c r="D235" s="39" t="s">
        <v>445</v>
      </c>
      <c r="E235" s="40">
        <f t="shared" ref="E235:E236" si="44">E240</f>
        <v>74639</v>
      </c>
      <c r="F235" s="39">
        <v>1.0</v>
      </c>
      <c r="G235" s="40">
        <f t="shared" si="43"/>
        <v>74639</v>
      </c>
      <c r="H235" s="40"/>
      <c r="I235" s="68"/>
      <c r="J235" s="69"/>
      <c r="K235" s="139"/>
      <c r="L235" s="270"/>
      <c r="M235" s="272"/>
      <c r="N235" s="272"/>
      <c r="O235" s="272"/>
      <c r="P235" s="272"/>
      <c r="Q235" s="272"/>
      <c r="R235" s="272"/>
      <c r="S235" s="272"/>
      <c r="T235" s="12"/>
      <c r="U235" s="12"/>
      <c r="V235" s="12"/>
      <c r="W235" s="12"/>
      <c r="X235" s="12"/>
      <c r="Y235" s="12"/>
      <c r="Z235" s="12"/>
    </row>
    <row r="236" ht="15.75" customHeight="1">
      <c r="A236" s="42"/>
      <c r="B236" s="45" t="s">
        <v>446</v>
      </c>
      <c r="C236" s="44" t="s">
        <v>447</v>
      </c>
      <c r="D236" s="45" t="s">
        <v>445</v>
      </c>
      <c r="E236" s="46">
        <f t="shared" si="44"/>
        <v>37683</v>
      </c>
      <c r="F236" s="45">
        <v>1.0</v>
      </c>
      <c r="G236" s="46">
        <f t="shared" si="43"/>
        <v>37683</v>
      </c>
      <c r="H236" s="46"/>
      <c r="I236" s="41"/>
      <c r="J236" s="4">
        <f>G235+G236</f>
        <v>112322</v>
      </c>
      <c r="K236" s="12"/>
      <c r="L236" s="273"/>
      <c r="M236" s="183"/>
      <c r="N236" s="183"/>
      <c r="O236" s="183"/>
      <c r="P236" s="183"/>
      <c r="Q236" s="183"/>
      <c r="R236" s="183"/>
      <c r="S236" s="183"/>
      <c r="T236" s="12"/>
      <c r="U236" s="12"/>
      <c r="V236" s="12"/>
      <c r="W236" s="12"/>
      <c r="X236" s="12"/>
      <c r="Y236" s="12"/>
      <c r="Z236" s="12"/>
    </row>
    <row r="237" ht="15.75" customHeight="1">
      <c r="A237" s="274"/>
      <c r="B237" s="275">
        <v>21.0</v>
      </c>
      <c r="C237" s="112" t="s">
        <v>448</v>
      </c>
      <c r="D237" s="112"/>
      <c r="E237" s="113"/>
      <c r="F237" s="112"/>
      <c r="G237" s="114">
        <f>SUM(G238:G241)</f>
        <v>339281</v>
      </c>
      <c r="H237" s="114">
        <f>SUM(H238)</f>
        <v>0</v>
      </c>
      <c r="I237" s="115" t="s">
        <v>221</v>
      </c>
      <c r="J237" s="116">
        <f>G237</f>
        <v>339281</v>
      </c>
      <c r="K237" s="117">
        <f>K225+J237</f>
        <v>339281</v>
      </c>
      <c r="L237" s="269"/>
      <c r="M237" s="118"/>
      <c r="N237" s="118"/>
      <c r="O237" s="118"/>
      <c r="P237" s="118"/>
      <c r="Q237" s="118"/>
      <c r="R237" s="118"/>
      <c r="S237" s="118"/>
      <c r="T237" s="12"/>
      <c r="U237" s="12"/>
      <c r="V237" s="12"/>
      <c r="W237" s="12"/>
      <c r="X237" s="12"/>
      <c r="Y237" s="12"/>
      <c r="Z237" s="12"/>
    </row>
    <row r="238" ht="15.75" customHeight="1">
      <c r="A238" s="42"/>
      <c r="B238" s="45" t="s">
        <v>449</v>
      </c>
      <c r="C238" s="44" t="s">
        <v>450</v>
      </c>
      <c r="D238" s="45" t="s">
        <v>44</v>
      </c>
      <c r="E238" s="46">
        <v>170890.0</v>
      </c>
      <c r="F238" s="45">
        <v>1.0</v>
      </c>
      <c r="G238" s="46">
        <f t="shared" ref="G238:G241" si="45">E238*F238</f>
        <v>170890</v>
      </c>
      <c r="H238" s="46"/>
      <c r="I238" s="41"/>
      <c r="J238" s="4"/>
      <c r="K238" s="12"/>
      <c r="L238" s="273"/>
      <c r="M238" s="183"/>
      <c r="N238" s="183"/>
      <c r="O238" s="183"/>
      <c r="P238" s="183"/>
      <c r="Q238" s="183"/>
      <c r="R238" s="183"/>
      <c r="S238" s="183"/>
      <c r="T238" s="12"/>
      <c r="U238" s="12"/>
      <c r="V238" s="12"/>
      <c r="W238" s="12"/>
      <c r="X238" s="12"/>
      <c r="Y238" s="12"/>
      <c r="Z238" s="12"/>
    </row>
    <row r="239" ht="15.75" customHeight="1">
      <c r="A239" s="42"/>
      <c r="B239" s="45" t="s">
        <v>451</v>
      </c>
      <c r="C239" s="44" t="s">
        <v>452</v>
      </c>
      <c r="D239" s="45" t="s">
        <v>44</v>
      </c>
      <c r="E239" s="46">
        <v>56069.0</v>
      </c>
      <c r="F239" s="45">
        <v>1.0</v>
      </c>
      <c r="G239" s="46">
        <f t="shared" si="45"/>
        <v>56069</v>
      </c>
      <c r="H239" s="46"/>
      <c r="I239" s="41"/>
      <c r="J239" s="4"/>
      <c r="K239" s="12"/>
      <c r="L239" s="273"/>
      <c r="M239" s="183"/>
      <c r="N239" s="183"/>
      <c r="O239" s="183"/>
      <c r="P239" s="183"/>
      <c r="Q239" s="183"/>
      <c r="R239" s="183"/>
      <c r="S239" s="183"/>
      <c r="T239" s="12"/>
      <c r="U239" s="12"/>
      <c r="V239" s="12"/>
      <c r="W239" s="12"/>
      <c r="X239" s="12"/>
      <c r="Y239" s="12"/>
      <c r="Z239" s="12"/>
    </row>
    <row r="240" ht="15.75" customHeight="1">
      <c r="A240" s="42"/>
      <c r="B240" s="45" t="s">
        <v>453</v>
      </c>
      <c r="C240" s="44" t="s">
        <v>454</v>
      </c>
      <c r="D240" s="45" t="s">
        <v>44</v>
      </c>
      <c r="E240" s="46">
        <v>74639.0</v>
      </c>
      <c r="F240" s="45">
        <v>1.0</v>
      </c>
      <c r="G240" s="46">
        <f t="shared" si="45"/>
        <v>74639</v>
      </c>
      <c r="H240" s="46"/>
      <c r="I240" s="41"/>
      <c r="J240" s="4"/>
      <c r="K240" s="12"/>
      <c r="L240" s="273"/>
      <c r="M240" s="183"/>
      <c r="N240" s="183"/>
      <c r="O240" s="183"/>
      <c r="P240" s="183"/>
      <c r="Q240" s="183"/>
      <c r="R240" s="183"/>
      <c r="S240" s="183"/>
      <c r="T240" s="12"/>
      <c r="U240" s="12"/>
      <c r="V240" s="12"/>
      <c r="W240" s="12"/>
      <c r="X240" s="12"/>
      <c r="Y240" s="12"/>
      <c r="Z240" s="12"/>
    </row>
    <row r="241" ht="15.75" customHeight="1">
      <c r="A241" s="42"/>
      <c r="B241" s="45" t="s">
        <v>334</v>
      </c>
      <c r="C241" s="44" t="s">
        <v>455</v>
      </c>
      <c r="D241" s="45" t="s">
        <v>44</v>
      </c>
      <c r="E241" s="46">
        <v>37683.0</v>
      </c>
      <c r="F241" s="45">
        <v>1.0</v>
      </c>
      <c r="G241" s="46">
        <f t="shared" si="45"/>
        <v>37683</v>
      </c>
      <c r="H241" s="46"/>
      <c r="I241" s="41"/>
      <c r="J241" s="4"/>
      <c r="K241" s="12"/>
      <c r="L241" s="273"/>
      <c r="M241" s="183"/>
      <c r="N241" s="183"/>
      <c r="O241" s="183"/>
      <c r="P241" s="183"/>
      <c r="Q241" s="276"/>
      <c r="R241" s="183"/>
      <c r="S241" s="183"/>
      <c r="T241" s="12"/>
      <c r="U241" s="12"/>
      <c r="V241" s="12"/>
      <c r="W241" s="12"/>
      <c r="X241" s="12"/>
      <c r="Y241" s="12"/>
      <c r="Z241" s="12"/>
    </row>
    <row r="242" ht="39.75" customHeight="1">
      <c r="A242" s="42"/>
      <c r="B242" s="277">
        <v>22.0</v>
      </c>
      <c r="C242" s="193" t="s">
        <v>456</v>
      </c>
      <c r="D242" s="277"/>
      <c r="E242" s="195"/>
      <c r="F242" s="277">
        <v>1.0</v>
      </c>
      <c r="G242" s="195">
        <f>SUM(G243:G248)</f>
        <v>173365.25</v>
      </c>
      <c r="H242" s="278"/>
      <c r="I242" s="49" t="s">
        <v>27</v>
      </c>
      <c r="J242" s="4">
        <f>G242</f>
        <v>173365.25</v>
      </c>
      <c r="K242" s="196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9.5" customHeight="1">
      <c r="A243" s="42"/>
      <c r="B243" s="181" t="s">
        <v>457</v>
      </c>
      <c r="C243" s="182" t="s">
        <v>458</v>
      </c>
      <c r="D243" s="45" t="s">
        <v>459</v>
      </c>
      <c r="E243" s="279">
        <v>57056.25</v>
      </c>
      <c r="F243" s="181">
        <v>1.0</v>
      </c>
      <c r="G243" s="46">
        <f t="shared" ref="G243:G248" si="46">E243*F243</f>
        <v>57056.25</v>
      </c>
      <c r="H243" s="182"/>
      <c r="I243" s="3"/>
      <c r="J243" s="4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280"/>
      <c r="B244" s="281" t="s">
        <v>460</v>
      </c>
      <c r="C244" s="282" t="s">
        <v>461</v>
      </c>
      <c r="D244" s="281" t="s">
        <v>462</v>
      </c>
      <c r="E244" s="283">
        <v>30471.0</v>
      </c>
      <c r="F244" s="281">
        <v>1.0</v>
      </c>
      <c r="G244" s="283">
        <f t="shared" si="46"/>
        <v>30471</v>
      </c>
      <c r="H244" s="284"/>
      <c r="I244" s="49"/>
      <c r="J244" s="285">
        <v>0.0</v>
      </c>
      <c r="K244" s="286"/>
      <c r="L244" s="286"/>
      <c r="M244" s="286"/>
      <c r="N244" s="286"/>
      <c r="O244" s="286"/>
      <c r="P244" s="286"/>
      <c r="Q244" s="286"/>
      <c r="R244" s="286"/>
      <c r="S244" s="286"/>
      <c r="T244" s="286"/>
      <c r="U244" s="286"/>
      <c r="V244" s="286"/>
      <c r="W244" s="286"/>
      <c r="X244" s="286"/>
      <c r="Y244" s="286"/>
      <c r="Z244" s="286"/>
    </row>
    <row r="245" ht="15.75" customHeight="1">
      <c r="A245" s="42"/>
      <c r="B245" s="163" t="s">
        <v>463</v>
      </c>
      <c r="C245" s="90" t="s">
        <v>464</v>
      </c>
      <c r="D245" s="163" t="s">
        <v>465</v>
      </c>
      <c r="E245" s="164">
        <v>65250.0</v>
      </c>
      <c r="F245" s="163">
        <v>1.0</v>
      </c>
      <c r="G245" s="46">
        <f t="shared" si="46"/>
        <v>65250</v>
      </c>
      <c r="H245" s="167"/>
      <c r="I245" s="180"/>
      <c r="J245" s="11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27.75" customHeight="1">
      <c r="A246" s="42"/>
      <c r="B246" s="181" t="s">
        <v>466</v>
      </c>
      <c r="C246" s="44" t="s">
        <v>467</v>
      </c>
      <c r="D246" s="45" t="s">
        <v>18</v>
      </c>
      <c r="E246" s="46">
        <v>162.5</v>
      </c>
      <c r="F246" s="45">
        <v>40.0</v>
      </c>
      <c r="G246" s="46">
        <f t="shared" si="46"/>
        <v>6500</v>
      </c>
      <c r="H246" s="166"/>
      <c r="I246" s="41"/>
      <c r="J246" s="4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27.75" customHeight="1">
      <c r="A247" s="42"/>
      <c r="B247" s="163" t="s">
        <v>468</v>
      </c>
      <c r="C247" s="90" t="s">
        <v>469</v>
      </c>
      <c r="D247" s="163" t="s">
        <v>26</v>
      </c>
      <c r="E247" s="164">
        <v>7213.0</v>
      </c>
      <c r="F247" s="163">
        <v>1.0</v>
      </c>
      <c r="G247" s="46">
        <f t="shared" si="46"/>
        <v>7213</v>
      </c>
      <c r="H247" s="167"/>
      <c r="I247" s="180"/>
      <c r="J247" s="11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42"/>
      <c r="B248" s="163" t="s">
        <v>470</v>
      </c>
      <c r="C248" s="12" t="s">
        <v>471</v>
      </c>
      <c r="D248" s="45" t="s">
        <v>44</v>
      </c>
      <c r="E248" s="46">
        <v>137.5</v>
      </c>
      <c r="F248" s="45">
        <v>50.0</v>
      </c>
      <c r="G248" s="46">
        <f t="shared" si="46"/>
        <v>6875</v>
      </c>
      <c r="H248" s="167"/>
      <c r="I248" s="180"/>
      <c r="J248" s="11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21.75" customHeight="1">
      <c r="A249" s="42"/>
      <c r="B249" s="277">
        <v>23.0</v>
      </c>
      <c r="C249" s="287" t="s">
        <v>472</v>
      </c>
      <c r="D249" s="287"/>
      <c r="E249" s="288"/>
      <c r="F249" s="287"/>
      <c r="G249" s="195">
        <f>SUM(G250:G267)</f>
        <v>105203.5</v>
      </c>
      <c r="H249" s="195"/>
      <c r="I249" s="49" t="s">
        <v>211</v>
      </c>
      <c r="J249" s="4">
        <f>G249</f>
        <v>105203.5</v>
      </c>
      <c r="K249" s="196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42"/>
      <c r="B250" s="45" t="s">
        <v>473</v>
      </c>
      <c r="C250" s="90" t="s">
        <v>474</v>
      </c>
      <c r="D250" s="45" t="s">
        <v>475</v>
      </c>
      <c r="E250" s="46">
        <v>6275.0</v>
      </c>
      <c r="F250" s="45">
        <v>1.0</v>
      </c>
      <c r="G250" s="46">
        <f t="shared" ref="G250:G267" si="47">E250*F250</f>
        <v>6275</v>
      </c>
      <c r="H250" s="46"/>
      <c r="I250" s="289"/>
      <c r="J250" s="11">
        <f>J249</f>
        <v>105203.5</v>
      </c>
      <c r="K250" s="12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42"/>
      <c r="B251" s="45" t="s">
        <v>476</v>
      </c>
      <c r="C251" s="44" t="s">
        <v>165</v>
      </c>
      <c r="D251" s="45" t="s">
        <v>163</v>
      </c>
      <c r="E251" s="46">
        <f t="shared" ref="E251:E265" si="48">E75</f>
        <v>25276.25</v>
      </c>
      <c r="F251" s="45">
        <v>1.0</v>
      </c>
      <c r="G251" s="46">
        <f t="shared" si="47"/>
        <v>25276.25</v>
      </c>
      <c r="H251" s="46"/>
      <c r="I251" s="290"/>
      <c r="J251" s="11"/>
      <c r="K251" s="12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42"/>
      <c r="B252" s="45" t="s">
        <v>477</v>
      </c>
      <c r="C252" s="44" t="s">
        <v>263</v>
      </c>
      <c r="D252" s="45" t="s">
        <v>168</v>
      </c>
      <c r="E252" s="46">
        <f t="shared" si="48"/>
        <v>3116.25</v>
      </c>
      <c r="F252" s="45">
        <v>1.0</v>
      </c>
      <c r="G252" s="46">
        <f t="shared" si="47"/>
        <v>3116.25</v>
      </c>
      <c r="H252" s="46"/>
      <c r="I252" s="290"/>
      <c r="J252" s="11"/>
      <c r="K252" s="183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42"/>
      <c r="B253" s="45" t="s">
        <v>478</v>
      </c>
      <c r="C253" s="44" t="s">
        <v>170</v>
      </c>
      <c r="D253" s="45" t="s">
        <v>163</v>
      </c>
      <c r="E253" s="46">
        <f t="shared" si="48"/>
        <v>9177.5</v>
      </c>
      <c r="F253" s="45">
        <v>1.0</v>
      </c>
      <c r="G253" s="46">
        <f t="shared" si="47"/>
        <v>9177.5</v>
      </c>
      <c r="H253" s="46"/>
      <c r="I253" s="290"/>
      <c r="J253" s="11"/>
      <c r="K253" s="12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42"/>
      <c r="B254" s="45" t="s">
        <v>479</v>
      </c>
      <c r="C254" s="44" t="s">
        <v>172</v>
      </c>
      <c r="D254" s="45" t="s">
        <v>61</v>
      </c>
      <c r="E254" s="46">
        <f t="shared" si="48"/>
        <v>5073.75</v>
      </c>
      <c r="F254" s="45">
        <v>1.0</v>
      </c>
      <c r="G254" s="46">
        <f t="shared" si="47"/>
        <v>5073.75</v>
      </c>
      <c r="H254" s="46"/>
      <c r="I254" s="290"/>
      <c r="J254" s="11"/>
      <c r="K254" s="12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42"/>
      <c r="B255" s="45" t="s">
        <v>480</v>
      </c>
      <c r="C255" s="44" t="s">
        <v>481</v>
      </c>
      <c r="D255" s="45" t="s">
        <v>175</v>
      </c>
      <c r="E255" s="46">
        <f t="shared" si="48"/>
        <v>15553.75</v>
      </c>
      <c r="F255" s="45">
        <v>1.0</v>
      </c>
      <c r="G255" s="46">
        <f t="shared" si="47"/>
        <v>15553.75</v>
      </c>
      <c r="H255" s="46"/>
      <c r="I255" s="290"/>
      <c r="J255" s="11"/>
      <c r="K255" s="12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42"/>
      <c r="B256" s="45" t="s">
        <v>482</v>
      </c>
      <c r="C256" s="44" t="s">
        <v>177</v>
      </c>
      <c r="D256" s="45" t="s">
        <v>178</v>
      </c>
      <c r="E256" s="46">
        <f t="shared" si="48"/>
        <v>7230</v>
      </c>
      <c r="F256" s="45">
        <v>1.0</v>
      </c>
      <c r="G256" s="46">
        <f t="shared" si="47"/>
        <v>7230</v>
      </c>
      <c r="H256" s="46"/>
      <c r="I256" s="290"/>
      <c r="J256" s="11"/>
      <c r="K256" s="12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42"/>
      <c r="B257" s="45" t="s">
        <v>483</v>
      </c>
      <c r="C257" s="44" t="s">
        <v>180</v>
      </c>
      <c r="D257" s="45" t="s">
        <v>181</v>
      </c>
      <c r="E257" s="46">
        <f t="shared" si="48"/>
        <v>1688.75</v>
      </c>
      <c r="F257" s="45">
        <v>1.0</v>
      </c>
      <c r="G257" s="46">
        <f t="shared" si="47"/>
        <v>1688.75</v>
      </c>
      <c r="H257" s="46"/>
      <c r="I257" s="290"/>
      <c r="J257" s="11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42"/>
      <c r="B258" s="45" t="s">
        <v>484</v>
      </c>
      <c r="C258" s="44" t="s">
        <v>183</v>
      </c>
      <c r="D258" s="45" t="s">
        <v>184</v>
      </c>
      <c r="E258" s="46">
        <f t="shared" si="48"/>
        <v>3587.5</v>
      </c>
      <c r="F258" s="45">
        <v>1.0</v>
      </c>
      <c r="G258" s="46">
        <f t="shared" si="47"/>
        <v>3587.5</v>
      </c>
      <c r="H258" s="46"/>
      <c r="I258" s="290"/>
      <c r="J258" s="11"/>
      <c r="K258" s="12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42"/>
      <c r="B259" s="45" t="s">
        <v>485</v>
      </c>
      <c r="C259" s="44" t="s">
        <v>122</v>
      </c>
      <c r="D259" s="45" t="s">
        <v>184</v>
      </c>
      <c r="E259" s="46">
        <f t="shared" si="48"/>
        <v>2371.25</v>
      </c>
      <c r="F259" s="45">
        <v>1.0</v>
      </c>
      <c r="G259" s="46">
        <f t="shared" si="47"/>
        <v>2371.25</v>
      </c>
      <c r="H259" s="46"/>
      <c r="I259" s="290"/>
      <c r="J259" s="11"/>
      <c r="K259" s="12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42"/>
      <c r="B260" s="45" t="s">
        <v>486</v>
      </c>
      <c r="C260" s="44" t="s">
        <v>187</v>
      </c>
      <c r="D260" s="45" t="s">
        <v>188</v>
      </c>
      <c r="E260" s="46">
        <f t="shared" si="48"/>
        <v>1618.75</v>
      </c>
      <c r="F260" s="45">
        <v>1.0</v>
      </c>
      <c r="G260" s="46">
        <f t="shared" si="47"/>
        <v>1618.75</v>
      </c>
      <c r="H260" s="46"/>
      <c r="I260" s="290"/>
      <c r="J260" s="11"/>
      <c r="K260" s="12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42"/>
      <c r="B261" s="45" t="s">
        <v>487</v>
      </c>
      <c r="C261" s="44" t="s">
        <v>190</v>
      </c>
      <c r="D261" s="45" t="s">
        <v>168</v>
      </c>
      <c r="E261" s="46">
        <f t="shared" si="48"/>
        <v>4695</v>
      </c>
      <c r="F261" s="45">
        <v>1.0</v>
      </c>
      <c r="G261" s="46">
        <f t="shared" si="47"/>
        <v>4695</v>
      </c>
      <c r="H261" s="46"/>
      <c r="I261" s="290"/>
      <c r="J261" s="11"/>
      <c r="K261" s="12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42"/>
      <c r="B262" s="45" t="s">
        <v>488</v>
      </c>
      <c r="C262" s="44" t="s">
        <v>192</v>
      </c>
      <c r="D262" s="45" t="s">
        <v>193</v>
      </c>
      <c r="E262" s="46">
        <f t="shared" si="48"/>
        <v>1635</v>
      </c>
      <c r="F262" s="45">
        <v>1.0</v>
      </c>
      <c r="G262" s="46">
        <f t="shared" si="47"/>
        <v>1635</v>
      </c>
      <c r="H262" s="46"/>
      <c r="I262" s="290"/>
      <c r="J262" s="11"/>
      <c r="K262" s="12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42"/>
      <c r="B263" s="45" t="s">
        <v>489</v>
      </c>
      <c r="C263" s="44" t="s">
        <v>490</v>
      </c>
      <c r="D263" s="45" t="s">
        <v>44</v>
      </c>
      <c r="E263" s="46">
        <f t="shared" si="48"/>
        <v>162.5</v>
      </c>
      <c r="F263" s="45">
        <v>32.0</v>
      </c>
      <c r="G263" s="46">
        <f t="shared" si="47"/>
        <v>5200</v>
      </c>
      <c r="H263" s="46"/>
      <c r="I263" s="289"/>
      <c r="J263" s="11"/>
      <c r="K263" s="12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42"/>
      <c r="B264" s="45" t="s">
        <v>491</v>
      </c>
      <c r="C264" s="44" t="s">
        <v>197</v>
      </c>
      <c r="D264" s="45" t="s">
        <v>44</v>
      </c>
      <c r="E264" s="46">
        <f t="shared" si="48"/>
        <v>162.5</v>
      </c>
      <c r="F264" s="45">
        <v>16.0</v>
      </c>
      <c r="G264" s="46">
        <f t="shared" si="47"/>
        <v>2600</v>
      </c>
      <c r="H264" s="46"/>
      <c r="I264" s="289"/>
      <c r="J264" s="11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42"/>
      <c r="B265" s="45" t="s">
        <v>492</v>
      </c>
      <c r="C265" s="44" t="s">
        <v>199</v>
      </c>
      <c r="D265" s="45" t="s">
        <v>44</v>
      </c>
      <c r="E265" s="46">
        <f t="shared" si="48"/>
        <v>3863.75</v>
      </c>
      <c r="F265" s="45">
        <v>1.0</v>
      </c>
      <c r="G265" s="46">
        <f t="shared" si="47"/>
        <v>3863.75</v>
      </c>
      <c r="H265" s="46"/>
      <c r="I265" s="291"/>
      <c r="J265" s="11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292"/>
      <c r="B266" s="45" t="s">
        <v>493</v>
      </c>
      <c r="C266" s="90" t="s">
        <v>494</v>
      </c>
      <c r="D266" s="163" t="s">
        <v>61</v>
      </c>
      <c r="E266" s="164">
        <v>4863.0</v>
      </c>
      <c r="F266" s="163">
        <v>1.0</v>
      </c>
      <c r="G266" s="164">
        <f t="shared" si="47"/>
        <v>4863</v>
      </c>
      <c r="H266" s="46"/>
      <c r="I266" s="289"/>
      <c r="J266" s="11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292"/>
      <c r="B267" s="45" t="s">
        <v>495</v>
      </c>
      <c r="C267" s="90" t="s">
        <v>496</v>
      </c>
      <c r="D267" s="163"/>
      <c r="E267" s="164">
        <v>1378.0</v>
      </c>
      <c r="F267" s="163">
        <v>1.0</v>
      </c>
      <c r="G267" s="164">
        <f t="shared" si="47"/>
        <v>1378</v>
      </c>
      <c r="H267" s="46"/>
      <c r="I267" s="289"/>
      <c r="J267" s="11"/>
      <c r="K267" s="12"/>
      <c r="L267" s="12"/>
      <c r="M267" s="293"/>
      <c r="N267" s="293"/>
      <c r="O267" s="293"/>
      <c r="P267" s="293"/>
      <c r="Q267" s="293"/>
      <c r="R267" s="293"/>
      <c r="S267" s="293"/>
      <c r="T267" s="12"/>
      <c r="U267" s="12"/>
      <c r="V267" s="12"/>
      <c r="W267" s="12"/>
      <c r="X267" s="12"/>
      <c r="Y267" s="12"/>
      <c r="Z267" s="12"/>
    </row>
    <row r="268" ht="28.5" customHeight="1">
      <c r="A268" s="42"/>
      <c r="B268" s="277">
        <v>24.0</v>
      </c>
      <c r="C268" s="193" t="s">
        <v>497</v>
      </c>
      <c r="D268" s="277"/>
      <c r="E268" s="195"/>
      <c r="F268" s="277">
        <v>1.0</v>
      </c>
      <c r="G268" s="195">
        <f>SUM(G269:G276)</f>
        <v>363622.5</v>
      </c>
      <c r="H268" s="278"/>
      <c r="I268" s="49" t="s">
        <v>27</v>
      </c>
      <c r="J268" s="4">
        <f>G268</f>
        <v>363622.5</v>
      </c>
      <c r="K268" s="196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75" customHeight="1">
      <c r="A269" s="42"/>
      <c r="B269" s="93" t="s">
        <v>498</v>
      </c>
      <c r="C269" s="294" t="s">
        <v>499</v>
      </c>
      <c r="D269" s="45" t="s">
        <v>459</v>
      </c>
      <c r="E269" s="279">
        <v>217313.5</v>
      </c>
      <c r="F269" s="93">
        <v>1.0</v>
      </c>
      <c r="G269" s="46">
        <f t="shared" ref="G269:G270" si="49">E269*F269</f>
        <v>217313.5</v>
      </c>
      <c r="H269" s="294"/>
      <c r="I269" s="3"/>
      <c r="J269" s="4"/>
      <c r="K269" s="5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5.75" customHeight="1">
      <c r="A270" s="280"/>
      <c r="B270" s="281" t="s">
        <v>500</v>
      </c>
      <c r="C270" s="282" t="s">
        <v>501</v>
      </c>
      <c r="D270" s="281" t="s">
        <v>462</v>
      </c>
      <c r="E270" s="283">
        <v>60471.0</v>
      </c>
      <c r="F270" s="281">
        <v>1.0</v>
      </c>
      <c r="G270" s="283">
        <f t="shared" si="49"/>
        <v>60471</v>
      </c>
      <c r="H270" s="284"/>
      <c r="I270" s="49"/>
      <c r="J270" s="285">
        <v>0.0</v>
      </c>
      <c r="K270" s="286"/>
      <c r="L270" s="286"/>
      <c r="M270" s="286"/>
      <c r="N270" s="286"/>
      <c r="O270" s="286"/>
      <c r="P270" s="286"/>
      <c r="Q270" s="286"/>
      <c r="R270" s="286"/>
      <c r="S270" s="286"/>
      <c r="T270" s="286"/>
      <c r="U270" s="286"/>
      <c r="V270" s="286"/>
      <c r="W270" s="286"/>
      <c r="X270" s="286"/>
      <c r="Y270" s="286"/>
      <c r="Z270" s="286"/>
    </row>
    <row r="271" ht="15.75" customHeight="1">
      <c r="A271" s="42"/>
      <c r="B271" s="93" t="s">
        <v>502</v>
      </c>
      <c r="C271" s="294" t="s">
        <v>503</v>
      </c>
      <c r="D271" s="45" t="s">
        <v>504</v>
      </c>
      <c r="E271" s="295"/>
      <c r="F271" s="295"/>
      <c r="G271" s="295"/>
      <c r="H271" s="29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1"/>
      <c r="B272" s="163" t="s">
        <v>505</v>
      </c>
      <c r="C272" s="296" t="s">
        <v>506</v>
      </c>
      <c r="D272" s="52" t="s">
        <v>507</v>
      </c>
      <c r="E272" s="297"/>
      <c r="F272" s="297"/>
      <c r="G272" s="297"/>
      <c r="H272" s="297"/>
      <c r="I272" s="57"/>
      <c r="J272" s="57"/>
      <c r="K272" s="57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28.5" customHeight="1">
      <c r="A273" s="42"/>
      <c r="B273" s="93" t="s">
        <v>508</v>
      </c>
      <c r="C273" s="298" t="s">
        <v>509</v>
      </c>
      <c r="D273" s="163" t="s">
        <v>465</v>
      </c>
      <c r="E273" s="164">
        <v>65250.0</v>
      </c>
      <c r="F273" s="163">
        <v>1.0</v>
      </c>
      <c r="G273" s="46">
        <f t="shared" ref="G273:G276" si="50">E273*F273</f>
        <v>65250</v>
      </c>
      <c r="H273" s="167"/>
      <c r="I273" s="180"/>
      <c r="J273" s="11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42"/>
      <c r="B274" s="163" t="s">
        <v>510</v>
      </c>
      <c r="C274" s="90" t="s">
        <v>469</v>
      </c>
      <c r="D274" s="163" t="s">
        <v>26</v>
      </c>
      <c r="E274" s="164">
        <v>7213.0</v>
      </c>
      <c r="F274" s="163">
        <v>1.0</v>
      </c>
      <c r="G274" s="46">
        <f t="shared" si="50"/>
        <v>7213</v>
      </c>
      <c r="H274" s="167"/>
      <c r="I274" s="180"/>
      <c r="J274" s="11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42"/>
      <c r="B275" s="93" t="s">
        <v>511</v>
      </c>
      <c r="C275" s="44" t="s">
        <v>512</v>
      </c>
      <c r="D275" s="45" t="s">
        <v>18</v>
      </c>
      <c r="E275" s="46">
        <v>162.5</v>
      </c>
      <c r="F275" s="45">
        <v>40.0</v>
      </c>
      <c r="G275" s="46">
        <f t="shared" si="50"/>
        <v>6500</v>
      </c>
      <c r="H275" s="166"/>
      <c r="I275" s="41"/>
      <c r="J275" s="4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42"/>
      <c r="B276" s="163" t="s">
        <v>513</v>
      </c>
      <c r="C276" s="299" t="s">
        <v>471</v>
      </c>
      <c r="D276" s="45" t="s">
        <v>44</v>
      </c>
      <c r="E276" s="46">
        <v>137.5</v>
      </c>
      <c r="F276" s="45">
        <v>50.0</v>
      </c>
      <c r="G276" s="46">
        <f t="shared" si="50"/>
        <v>6875</v>
      </c>
      <c r="H276" s="167"/>
      <c r="I276" s="180"/>
      <c r="J276" s="11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28.5" customHeight="1">
      <c r="A277" s="58"/>
      <c r="B277" s="59">
        <v>25.0</v>
      </c>
      <c r="C277" s="60" t="s">
        <v>514</v>
      </c>
      <c r="D277" s="60"/>
      <c r="E277" s="300"/>
      <c r="F277" s="301"/>
      <c r="G277" s="302">
        <f>SUM(G278:G300)</f>
        <v>209743.5</v>
      </c>
      <c r="H277" s="62">
        <f>SUM(H278:H298)</f>
        <v>186088.5</v>
      </c>
      <c r="I277" s="63" t="s">
        <v>342</v>
      </c>
      <c r="J277" s="64">
        <f>G277</f>
        <v>209743.5</v>
      </c>
      <c r="K277" s="225">
        <f>K273+J277</f>
        <v>209743.5</v>
      </c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09"/>
      <c r="Z277" s="209"/>
    </row>
    <row r="278" ht="28.5" customHeight="1">
      <c r="A278" s="36"/>
      <c r="B278" s="161" t="s">
        <v>515</v>
      </c>
      <c r="C278" s="226" t="s">
        <v>357</v>
      </c>
      <c r="D278" s="303" t="s">
        <v>358</v>
      </c>
      <c r="E278" s="304">
        <f>E174</f>
        <v>11504</v>
      </c>
      <c r="F278" s="305">
        <v>4.0</v>
      </c>
      <c r="G278" s="46">
        <f t="shared" ref="G278:G300" si="51">E278*F278</f>
        <v>46016</v>
      </c>
      <c r="H278" s="91">
        <f>G278</f>
        <v>46016</v>
      </c>
      <c r="I278" s="179"/>
      <c r="J278" s="92">
        <f>J277</f>
        <v>209743.5</v>
      </c>
      <c r="K278" s="66"/>
      <c r="L278" s="306"/>
      <c r="M278" s="306"/>
      <c r="N278" s="306"/>
      <c r="O278" s="306"/>
      <c r="P278" s="306"/>
      <c r="Q278" s="306"/>
      <c r="R278" s="306"/>
      <c r="S278" s="306"/>
      <c r="T278" s="306"/>
      <c r="U278" s="306"/>
      <c r="V278" s="306"/>
      <c r="W278" s="306"/>
      <c r="X278" s="306"/>
      <c r="Y278" s="306"/>
      <c r="Z278" s="306"/>
    </row>
    <row r="279" ht="15.75" customHeight="1">
      <c r="A279" s="42"/>
      <c r="B279" s="163" t="s">
        <v>516</v>
      </c>
      <c r="C279" s="230" t="s">
        <v>517</v>
      </c>
      <c r="D279" s="307" t="s">
        <v>163</v>
      </c>
      <c r="E279" s="228">
        <v>3872.0</v>
      </c>
      <c r="F279" s="232">
        <v>1.0</v>
      </c>
      <c r="G279" s="46">
        <f t="shared" si="51"/>
        <v>3872</v>
      </c>
      <c r="H279" s="164"/>
      <c r="I279" s="180"/>
      <c r="J279" s="11"/>
      <c r="K279" s="5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42"/>
      <c r="B280" s="161" t="s">
        <v>518</v>
      </c>
      <c r="C280" s="230" t="s">
        <v>362</v>
      </c>
      <c r="D280" s="307" t="s">
        <v>163</v>
      </c>
      <c r="E280" s="228">
        <v>15760.0</v>
      </c>
      <c r="F280" s="232">
        <v>1.0</v>
      </c>
      <c r="G280" s="46">
        <f t="shared" si="51"/>
        <v>15760</v>
      </c>
      <c r="H280" s="164">
        <f t="shared" ref="H280:H281" si="52">G280</f>
        <v>15760</v>
      </c>
      <c r="I280" s="180"/>
      <c r="J280" s="11"/>
      <c r="K280" s="5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42"/>
      <c r="B281" s="163" t="s">
        <v>519</v>
      </c>
      <c r="C281" s="230" t="s">
        <v>520</v>
      </c>
      <c r="D281" s="163" t="s">
        <v>365</v>
      </c>
      <c r="E281" s="91">
        <v>30000.0</v>
      </c>
      <c r="F281" s="163">
        <v>1.0</v>
      </c>
      <c r="G281" s="164">
        <f t="shared" si="51"/>
        <v>30000</v>
      </c>
      <c r="H281" s="164">
        <f t="shared" si="52"/>
        <v>30000</v>
      </c>
      <c r="I281" s="180"/>
      <c r="J281" s="11"/>
      <c r="K281" s="5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42"/>
      <c r="B282" s="161" t="s">
        <v>521</v>
      </c>
      <c r="C282" s="230" t="s">
        <v>367</v>
      </c>
      <c r="D282" s="163" t="s">
        <v>368</v>
      </c>
      <c r="E282" s="91">
        <f>E184</f>
        <v>6922</v>
      </c>
      <c r="F282" s="163">
        <v>1.0</v>
      </c>
      <c r="G282" s="164">
        <f t="shared" si="51"/>
        <v>6922</v>
      </c>
      <c r="H282" s="164"/>
      <c r="I282" s="180"/>
      <c r="J282" s="11"/>
      <c r="K282" s="5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42"/>
      <c r="B283" s="163" t="s">
        <v>522</v>
      </c>
      <c r="C283" s="44" t="s">
        <v>474</v>
      </c>
      <c r="D283" s="45" t="s">
        <v>163</v>
      </c>
      <c r="E283" s="164">
        <f>E250</f>
        <v>6275</v>
      </c>
      <c r="F283" s="45">
        <v>1.0</v>
      </c>
      <c r="G283" s="46">
        <f t="shared" si="51"/>
        <v>6275</v>
      </c>
      <c r="H283" s="164"/>
      <c r="I283" s="41"/>
      <c r="J283" s="11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75" customHeight="1">
      <c r="A284" s="42"/>
      <c r="B284" s="161" t="s">
        <v>523</v>
      </c>
      <c r="C284" s="44" t="s">
        <v>165</v>
      </c>
      <c r="D284" s="45" t="s">
        <v>163</v>
      </c>
      <c r="E284" s="94">
        <f>E75</f>
        <v>25276.25</v>
      </c>
      <c r="F284" s="45">
        <v>1.0</v>
      </c>
      <c r="G284" s="46">
        <f t="shared" si="51"/>
        <v>25276.25</v>
      </c>
      <c r="H284" s="164">
        <f t="shared" ref="H284:H298" si="53">G284</f>
        <v>25276.25</v>
      </c>
      <c r="I284" s="41"/>
      <c r="J284" s="11"/>
      <c r="K284" s="233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42"/>
      <c r="B285" s="163" t="s">
        <v>524</v>
      </c>
      <c r="C285" s="44" t="s">
        <v>167</v>
      </c>
      <c r="D285" s="45" t="s">
        <v>168</v>
      </c>
      <c r="E285" s="46">
        <v>3116.25</v>
      </c>
      <c r="F285" s="45">
        <v>1.0</v>
      </c>
      <c r="G285" s="46">
        <f t="shared" si="51"/>
        <v>3116.25</v>
      </c>
      <c r="H285" s="164">
        <f t="shared" si="53"/>
        <v>3116.25</v>
      </c>
      <c r="I285" s="41"/>
      <c r="J285" s="11"/>
      <c r="K285" s="233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42"/>
      <c r="B286" s="161" t="s">
        <v>525</v>
      </c>
      <c r="C286" s="44" t="s">
        <v>170</v>
      </c>
      <c r="D286" s="45" t="s">
        <v>163</v>
      </c>
      <c r="E286" s="46">
        <v>9177.5</v>
      </c>
      <c r="F286" s="45">
        <v>1.0</v>
      </c>
      <c r="G286" s="46">
        <f t="shared" si="51"/>
        <v>9177.5</v>
      </c>
      <c r="H286" s="164">
        <f t="shared" si="53"/>
        <v>9177.5</v>
      </c>
      <c r="I286" s="41"/>
      <c r="J286" s="11"/>
      <c r="K286" s="233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42"/>
      <c r="B287" s="163" t="s">
        <v>526</v>
      </c>
      <c r="C287" s="44" t="s">
        <v>172</v>
      </c>
      <c r="D287" s="45" t="s">
        <v>61</v>
      </c>
      <c r="E287" s="46">
        <v>5073.75</v>
      </c>
      <c r="F287" s="93">
        <v>1.0</v>
      </c>
      <c r="G287" s="46">
        <f t="shared" si="51"/>
        <v>5073.75</v>
      </c>
      <c r="H287" s="164">
        <f t="shared" si="53"/>
        <v>5073.75</v>
      </c>
      <c r="I287" s="41"/>
      <c r="J287" s="11"/>
      <c r="K287" s="233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42"/>
      <c r="B288" s="161" t="s">
        <v>527</v>
      </c>
      <c r="C288" s="44" t="s">
        <v>174</v>
      </c>
      <c r="D288" s="45" t="s">
        <v>175</v>
      </c>
      <c r="E288" s="46">
        <v>15553.75</v>
      </c>
      <c r="F288" s="45">
        <v>1.0</v>
      </c>
      <c r="G288" s="46">
        <f t="shared" si="51"/>
        <v>15553.75</v>
      </c>
      <c r="H288" s="164">
        <f t="shared" si="53"/>
        <v>15553.75</v>
      </c>
      <c r="I288" s="41"/>
      <c r="J288" s="11"/>
      <c r="K288" s="233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75" customHeight="1">
      <c r="A289" s="42"/>
      <c r="B289" s="163" t="s">
        <v>528</v>
      </c>
      <c r="C289" s="44" t="s">
        <v>177</v>
      </c>
      <c r="D289" s="45" t="s">
        <v>178</v>
      </c>
      <c r="E289" s="46">
        <v>7230.0</v>
      </c>
      <c r="F289" s="45">
        <v>1.0</v>
      </c>
      <c r="G289" s="46">
        <f t="shared" si="51"/>
        <v>7230</v>
      </c>
      <c r="H289" s="164">
        <f t="shared" si="53"/>
        <v>7230</v>
      </c>
      <c r="I289" s="41"/>
      <c r="J289" s="11"/>
      <c r="K289" s="233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42"/>
      <c r="B290" s="161" t="s">
        <v>529</v>
      </c>
      <c r="C290" s="44" t="s">
        <v>180</v>
      </c>
      <c r="D290" s="45" t="s">
        <v>181</v>
      </c>
      <c r="E290" s="46">
        <v>1688.75</v>
      </c>
      <c r="F290" s="45">
        <v>1.0</v>
      </c>
      <c r="G290" s="46">
        <f t="shared" si="51"/>
        <v>1688.75</v>
      </c>
      <c r="H290" s="164">
        <f t="shared" si="53"/>
        <v>1688.75</v>
      </c>
      <c r="I290" s="41"/>
      <c r="J290" s="234"/>
      <c r="K290" s="233"/>
      <c r="L290" s="12"/>
      <c r="M290" s="12"/>
      <c r="N290" s="12"/>
      <c r="O290" s="12"/>
      <c r="P290" s="12"/>
      <c r="Q290" s="235"/>
      <c r="R290" s="236"/>
      <c r="S290" s="236"/>
      <c r="T290" s="237"/>
      <c r="U290" s="236"/>
      <c r="V290" s="238"/>
      <c r="W290" s="238"/>
      <c r="X290" s="165"/>
      <c r="Y290" s="11"/>
      <c r="Z290" s="12"/>
    </row>
    <row r="291" ht="15.75" customHeight="1">
      <c r="A291" s="42"/>
      <c r="B291" s="163" t="s">
        <v>530</v>
      </c>
      <c r="C291" s="44" t="s">
        <v>183</v>
      </c>
      <c r="D291" s="45" t="s">
        <v>184</v>
      </c>
      <c r="E291" s="46">
        <v>3587.5</v>
      </c>
      <c r="F291" s="93">
        <v>1.0</v>
      </c>
      <c r="G291" s="46">
        <f t="shared" si="51"/>
        <v>3587.5</v>
      </c>
      <c r="H291" s="164">
        <f t="shared" si="53"/>
        <v>3587.5</v>
      </c>
      <c r="I291" s="41"/>
      <c r="J291" s="11"/>
      <c r="K291" s="233"/>
      <c r="L291" s="12"/>
      <c r="M291" s="12"/>
      <c r="N291" s="12"/>
      <c r="O291" s="12"/>
      <c r="P291" s="12"/>
      <c r="Q291" s="163"/>
      <c r="R291" s="230"/>
      <c r="S291" s="163"/>
      <c r="T291" s="164"/>
      <c r="U291" s="163"/>
      <c r="V291" s="164"/>
      <c r="W291" s="164"/>
      <c r="X291" s="165"/>
      <c r="Y291" s="11"/>
      <c r="Z291" s="12"/>
    </row>
    <row r="292" ht="15.75" customHeight="1">
      <c r="A292" s="42"/>
      <c r="B292" s="161" t="s">
        <v>531</v>
      </c>
      <c r="C292" s="44" t="s">
        <v>122</v>
      </c>
      <c r="D292" s="45" t="s">
        <v>184</v>
      </c>
      <c r="E292" s="46">
        <v>2371.25</v>
      </c>
      <c r="F292" s="93">
        <v>1.0</v>
      </c>
      <c r="G292" s="46">
        <f t="shared" si="51"/>
        <v>2371.25</v>
      </c>
      <c r="H292" s="164">
        <f t="shared" si="53"/>
        <v>2371.25</v>
      </c>
      <c r="I292" s="41"/>
      <c r="J292" s="11"/>
      <c r="K292" s="233"/>
      <c r="L292" s="5"/>
      <c r="M292" s="5"/>
      <c r="N292" s="5"/>
      <c r="O292" s="5"/>
      <c r="P292" s="5"/>
      <c r="Q292" s="163"/>
      <c r="R292" s="230"/>
      <c r="S292" s="163"/>
      <c r="T292" s="164"/>
      <c r="U292" s="163"/>
      <c r="V292" s="164"/>
      <c r="W292" s="238"/>
      <c r="X292" s="165"/>
      <c r="Y292" s="11"/>
      <c r="Z292" s="12"/>
    </row>
    <row r="293" ht="15.75" customHeight="1">
      <c r="A293" s="42"/>
      <c r="B293" s="163" t="s">
        <v>532</v>
      </c>
      <c r="C293" s="44" t="s">
        <v>187</v>
      </c>
      <c r="D293" s="45" t="s">
        <v>188</v>
      </c>
      <c r="E293" s="46">
        <v>1618.75</v>
      </c>
      <c r="F293" s="45">
        <v>1.0</v>
      </c>
      <c r="G293" s="46">
        <f t="shared" si="51"/>
        <v>1618.75</v>
      </c>
      <c r="H293" s="164">
        <f t="shared" si="53"/>
        <v>1618.75</v>
      </c>
      <c r="I293" s="41"/>
      <c r="J293" s="11"/>
      <c r="K293" s="233"/>
      <c r="L293" s="5"/>
      <c r="M293" s="5"/>
      <c r="N293" s="5"/>
      <c r="O293" s="5"/>
      <c r="P293" s="5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42"/>
      <c r="B294" s="161" t="s">
        <v>533</v>
      </c>
      <c r="C294" s="44" t="s">
        <v>190</v>
      </c>
      <c r="D294" s="45" t="s">
        <v>168</v>
      </c>
      <c r="E294" s="46">
        <v>4695.0</v>
      </c>
      <c r="F294" s="45">
        <v>1.0</v>
      </c>
      <c r="G294" s="46">
        <f t="shared" si="51"/>
        <v>4695</v>
      </c>
      <c r="H294" s="164">
        <f t="shared" si="53"/>
        <v>4695</v>
      </c>
      <c r="I294" s="41"/>
      <c r="J294" s="11"/>
      <c r="K294" s="233"/>
      <c r="L294" s="5"/>
      <c r="M294" s="5"/>
      <c r="N294" s="5"/>
      <c r="O294" s="5"/>
      <c r="P294" s="5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42"/>
      <c r="B295" s="163" t="s">
        <v>534</v>
      </c>
      <c r="C295" s="44" t="s">
        <v>192</v>
      </c>
      <c r="D295" s="45" t="s">
        <v>535</v>
      </c>
      <c r="E295" s="46">
        <v>1635.0</v>
      </c>
      <c r="F295" s="45">
        <v>1.0</v>
      </c>
      <c r="G295" s="46">
        <f t="shared" si="51"/>
        <v>1635</v>
      </c>
      <c r="H295" s="164">
        <f t="shared" si="53"/>
        <v>1635</v>
      </c>
      <c r="I295" s="41"/>
      <c r="J295" s="11"/>
      <c r="K295" s="233"/>
      <c r="L295" s="5"/>
      <c r="M295" s="5"/>
      <c r="N295" s="5"/>
      <c r="O295" s="5"/>
      <c r="P295" s="5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42"/>
      <c r="B296" s="161" t="s">
        <v>536</v>
      </c>
      <c r="C296" s="44" t="s">
        <v>537</v>
      </c>
      <c r="D296" s="45" t="s">
        <v>44</v>
      </c>
      <c r="E296" s="46">
        <v>162.5</v>
      </c>
      <c r="F296" s="45">
        <v>42.0</v>
      </c>
      <c r="G296" s="46">
        <f t="shared" si="51"/>
        <v>6825</v>
      </c>
      <c r="H296" s="164">
        <f t="shared" si="53"/>
        <v>6825</v>
      </c>
      <c r="I296" s="41"/>
      <c r="J296" s="11"/>
      <c r="K296" s="233"/>
      <c r="L296" s="5"/>
      <c r="M296" s="5"/>
      <c r="N296" s="5"/>
      <c r="O296" s="5"/>
      <c r="P296" s="5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42"/>
      <c r="B297" s="163" t="s">
        <v>538</v>
      </c>
      <c r="C297" s="44" t="s">
        <v>197</v>
      </c>
      <c r="D297" s="45" t="s">
        <v>44</v>
      </c>
      <c r="E297" s="46">
        <v>162.5</v>
      </c>
      <c r="F297" s="45">
        <v>16.0</v>
      </c>
      <c r="G297" s="46">
        <f t="shared" si="51"/>
        <v>2600</v>
      </c>
      <c r="H297" s="164">
        <f t="shared" si="53"/>
        <v>2600</v>
      </c>
      <c r="I297" s="41"/>
      <c r="J297" s="11"/>
      <c r="K297" s="233"/>
      <c r="L297" s="5"/>
      <c r="M297" s="5"/>
      <c r="N297" s="5"/>
      <c r="O297" s="5"/>
      <c r="P297" s="5"/>
      <c r="Q297" s="235"/>
      <c r="R297" s="236"/>
      <c r="S297" s="236"/>
      <c r="T297" s="237"/>
      <c r="U297" s="236"/>
      <c r="V297" s="238"/>
      <c r="W297" s="238"/>
      <c r="X297" s="239"/>
      <c r="Y297" s="11"/>
      <c r="Z297" s="11"/>
    </row>
    <row r="298" ht="15.75" customHeight="1">
      <c r="A298" s="42"/>
      <c r="B298" s="161" t="s">
        <v>539</v>
      </c>
      <c r="C298" s="44" t="s">
        <v>199</v>
      </c>
      <c r="D298" s="45" t="s">
        <v>44</v>
      </c>
      <c r="E298" s="46">
        <v>3863.75</v>
      </c>
      <c r="F298" s="45">
        <v>1.0</v>
      </c>
      <c r="G298" s="46">
        <f t="shared" si="51"/>
        <v>3863.75</v>
      </c>
      <c r="H298" s="164">
        <f t="shared" si="53"/>
        <v>3863.75</v>
      </c>
      <c r="I298" s="41"/>
      <c r="J298" s="11"/>
      <c r="K298" s="233"/>
      <c r="L298" s="5"/>
      <c r="M298" s="5"/>
      <c r="N298" s="5"/>
      <c r="O298" s="5"/>
      <c r="P298" s="5"/>
      <c r="Q298" s="163"/>
      <c r="R298" s="90"/>
      <c r="S298" s="163"/>
      <c r="T298" s="164"/>
      <c r="U298" s="163"/>
      <c r="V298" s="164"/>
      <c r="W298" s="164"/>
      <c r="X298" s="240"/>
      <c r="Y298" s="11"/>
      <c r="Z298" s="12"/>
    </row>
    <row r="299" ht="28.5" customHeight="1">
      <c r="A299" s="292"/>
      <c r="B299" s="163" t="s">
        <v>540</v>
      </c>
      <c r="C299" s="90" t="s">
        <v>494</v>
      </c>
      <c r="D299" s="163" t="s">
        <v>61</v>
      </c>
      <c r="E299" s="164">
        <v>4863.0</v>
      </c>
      <c r="F299" s="163">
        <v>1.0</v>
      </c>
      <c r="G299" s="164">
        <f t="shared" si="51"/>
        <v>4863</v>
      </c>
      <c r="H299" s="46"/>
      <c r="I299" s="289"/>
      <c r="J299" s="11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28.5" customHeight="1">
      <c r="A300" s="292"/>
      <c r="B300" s="163" t="s">
        <v>541</v>
      </c>
      <c r="C300" s="90" t="s">
        <v>496</v>
      </c>
      <c r="D300" s="163" t="s">
        <v>156</v>
      </c>
      <c r="E300" s="164">
        <v>1723.0</v>
      </c>
      <c r="F300" s="163">
        <v>1.0</v>
      </c>
      <c r="G300" s="164">
        <f t="shared" si="51"/>
        <v>1723</v>
      </c>
      <c r="H300" s="46"/>
      <c r="I300" s="289"/>
      <c r="J300" s="11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28.5" customHeight="1">
      <c r="A301" s="42"/>
      <c r="B301" s="308">
        <v>26.0</v>
      </c>
      <c r="C301" s="309" t="s">
        <v>542</v>
      </c>
      <c r="D301" s="308"/>
      <c r="E301" s="310"/>
      <c r="F301" s="308"/>
      <c r="G301" s="310">
        <f>SUM(G302:G303)</f>
        <v>8423</v>
      </c>
      <c r="H301" s="310"/>
      <c r="I301" s="41"/>
      <c r="J301" s="4"/>
      <c r="K301" s="5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42"/>
      <c r="B302" s="45" t="s">
        <v>543</v>
      </c>
      <c r="C302" s="90" t="s">
        <v>544</v>
      </c>
      <c r="D302" s="45" t="s">
        <v>545</v>
      </c>
      <c r="E302" s="46">
        <v>6285.0</v>
      </c>
      <c r="F302" s="45">
        <v>1.0</v>
      </c>
      <c r="G302" s="164">
        <f t="shared" ref="G302:G303" si="54">E302*F302</f>
        <v>6285</v>
      </c>
      <c r="H302" s="46"/>
      <c r="I302" s="311"/>
      <c r="J302" s="4"/>
      <c r="K302" s="5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42"/>
      <c r="B303" s="45" t="s">
        <v>546</v>
      </c>
      <c r="C303" s="90" t="s">
        <v>496</v>
      </c>
      <c r="D303" s="45" t="s">
        <v>156</v>
      </c>
      <c r="E303" s="164">
        <v>2138.0</v>
      </c>
      <c r="F303" s="163">
        <v>1.0</v>
      </c>
      <c r="G303" s="164">
        <f t="shared" si="54"/>
        <v>2138</v>
      </c>
      <c r="H303" s="46"/>
      <c r="I303" s="311"/>
      <c r="J303" s="4"/>
      <c r="K303" s="5"/>
      <c r="L303" s="12"/>
      <c r="M303" s="293"/>
      <c r="N303" s="293"/>
      <c r="O303" s="293"/>
      <c r="P303" s="293"/>
      <c r="Q303" s="293"/>
      <c r="R303" s="12"/>
      <c r="S303" s="12"/>
      <c r="T303" s="12"/>
      <c r="U303" s="12"/>
      <c r="V303" s="12"/>
      <c r="W303" s="12"/>
      <c r="X303" s="12"/>
      <c r="Y303" s="12"/>
      <c r="Z303" s="12"/>
    </row>
    <row r="304" ht="28.5" customHeight="1">
      <c r="A304" s="42"/>
      <c r="B304" s="277">
        <v>27.0</v>
      </c>
      <c r="C304" s="193" t="s">
        <v>547</v>
      </c>
      <c r="D304" s="277"/>
      <c r="E304" s="195"/>
      <c r="F304" s="277"/>
      <c r="G304" s="195">
        <f>SUM(G305:G315)</f>
        <v>113008.25</v>
      </c>
      <c r="H304" s="195"/>
      <c r="I304" s="41"/>
      <c r="J304" s="4"/>
      <c r="K304" s="5"/>
      <c r="L304" s="12"/>
      <c r="M304" s="293"/>
      <c r="N304" s="293"/>
      <c r="O304" s="293"/>
      <c r="P304" s="293"/>
      <c r="Q304" s="293"/>
      <c r="R304" s="12"/>
      <c r="S304" s="12"/>
      <c r="T304" s="12"/>
      <c r="U304" s="12"/>
      <c r="V304" s="12"/>
      <c r="W304" s="12"/>
      <c r="X304" s="12"/>
      <c r="Y304" s="12"/>
      <c r="Z304" s="12"/>
    </row>
    <row r="305" ht="28.5" customHeight="1">
      <c r="A305" s="42"/>
      <c r="B305" s="45" t="s">
        <v>548</v>
      </c>
      <c r="C305" s="44" t="s">
        <v>549</v>
      </c>
      <c r="D305" s="45" t="s">
        <v>18</v>
      </c>
      <c r="E305" s="46">
        <v>36250.0</v>
      </c>
      <c r="F305" s="45">
        <v>1.0</v>
      </c>
      <c r="G305" s="46">
        <f t="shared" ref="G305:G315" si="55">E305*F305</f>
        <v>36250</v>
      </c>
      <c r="H305" s="46"/>
      <c r="I305" s="41"/>
      <c r="J305" s="4"/>
      <c r="K305" s="5"/>
      <c r="L305" s="12"/>
      <c r="M305" s="293"/>
      <c r="N305" s="293"/>
      <c r="O305" s="293"/>
      <c r="P305" s="293"/>
      <c r="Q305" s="293"/>
      <c r="R305" s="12"/>
      <c r="S305" s="12"/>
      <c r="T305" s="12"/>
      <c r="U305" s="12"/>
      <c r="V305" s="12"/>
      <c r="W305" s="12"/>
      <c r="X305" s="12"/>
      <c r="Y305" s="12"/>
      <c r="Z305" s="12"/>
    </row>
    <row r="306" ht="28.5" customHeight="1">
      <c r="A306" s="42"/>
      <c r="B306" s="163" t="s">
        <v>550</v>
      </c>
      <c r="C306" s="44" t="s">
        <v>551</v>
      </c>
      <c r="D306" s="45" t="s">
        <v>44</v>
      </c>
      <c r="E306" s="46">
        <v>162.5</v>
      </c>
      <c r="F306" s="45">
        <v>64.0</v>
      </c>
      <c r="G306" s="46">
        <f t="shared" si="55"/>
        <v>10400</v>
      </c>
      <c r="H306" s="164">
        <f t="shared" ref="H306:H307" si="56">G306</f>
        <v>10400</v>
      </c>
      <c r="I306" s="41"/>
      <c r="J306" s="11"/>
      <c r="K306" s="233"/>
      <c r="L306" s="5"/>
      <c r="M306" s="5"/>
      <c r="N306" s="5"/>
      <c r="O306" s="5"/>
      <c r="P306" s="5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42"/>
      <c r="B307" s="45" t="s">
        <v>552</v>
      </c>
      <c r="C307" s="44" t="s">
        <v>197</v>
      </c>
      <c r="D307" s="45" t="s">
        <v>44</v>
      </c>
      <c r="E307" s="46">
        <v>162.5</v>
      </c>
      <c r="F307" s="45">
        <v>16.0</v>
      </c>
      <c r="G307" s="46">
        <f t="shared" si="55"/>
        <v>2600</v>
      </c>
      <c r="H307" s="164">
        <f t="shared" si="56"/>
        <v>2600</v>
      </c>
      <c r="I307" s="41"/>
      <c r="J307" s="11"/>
      <c r="K307" s="233"/>
      <c r="L307" s="5"/>
      <c r="M307" s="5"/>
      <c r="N307" s="5"/>
      <c r="O307" s="5"/>
      <c r="P307" s="5"/>
      <c r="Q307" s="235"/>
      <c r="R307" s="236"/>
      <c r="S307" s="236"/>
      <c r="T307" s="237"/>
      <c r="U307" s="236"/>
      <c r="V307" s="238"/>
      <c r="W307" s="238"/>
      <c r="X307" s="239"/>
      <c r="Y307" s="11"/>
      <c r="Z307" s="11"/>
    </row>
    <row r="308" ht="28.5" customHeight="1">
      <c r="A308" s="42"/>
      <c r="B308" s="45" t="s">
        <v>553</v>
      </c>
      <c r="C308" s="44" t="s">
        <v>554</v>
      </c>
      <c r="D308" s="45" t="s">
        <v>44</v>
      </c>
      <c r="E308" s="46">
        <v>137.5</v>
      </c>
      <c r="F308" s="45">
        <v>32.0</v>
      </c>
      <c r="G308" s="46">
        <f t="shared" si="55"/>
        <v>4400</v>
      </c>
      <c r="H308" s="46"/>
      <c r="I308" s="311"/>
      <c r="J308" s="4"/>
      <c r="K308" s="5"/>
      <c r="L308" s="12"/>
      <c r="M308" s="293"/>
      <c r="N308" s="293"/>
      <c r="O308" s="293"/>
      <c r="P308" s="293"/>
      <c r="Q308" s="293"/>
      <c r="R308" s="12"/>
      <c r="S308" s="12"/>
      <c r="T308" s="12"/>
      <c r="U308" s="12"/>
      <c r="V308" s="12"/>
      <c r="W308" s="12"/>
      <c r="X308" s="12"/>
      <c r="Y308" s="12"/>
      <c r="Z308" s="12"/>
    </row>
    <row r="309" ht="28.5" customHeight="1">
      <c r="A309" s="42"/>
      <c r="B309" s="163" t="s">
        <v>555</v>
      </c>
      <c r="C309" s="312" t="s">
        <v>556</v>
      </c>
      <c r="D309" s="45" t="s">
        <v>245</v>
      </c>
      <c r="E309" s="46">
        <v>1130.0</v>
      </c>
      <c r="F309" s="45">
        <v>10.0</v>
      </c>
      <c r="G309" s="46">
        <f t="shared" si="55"/>
        <v>11300</v>
      </c>
      <c r="H309" s="46"/>
      <c r="I309" s="311"/>
      <c r="J309" s="4"/>
      <c r="K309" s="5"/>
      <c r="L309" s="12"/>
      <c r="M309" s="293"/>
      <c r="N309" s="293"/>
      <c r="O309" s="293"/>
      <c r="P309" s="293"/>
      <c r="Q309" s="293"/>
      <c r="R309" s="12"/>
      <c r="S309" s="12"/>
      <c r="T309" s="12"/>
      <c r="U309" s="12"/>
      <c r="V309" s="12"/>
      <c r="W309" s="12"/>
      <c r="X309" s="12"/>
      <c r="Y309" s="12"/>
      <c r="Z309" s="12"/>
    </row>
    <row r="310" ht="28.5" customHeight="1">
      <c r="A310" s="42"/>
      <c r="B310" s="45" t="s">
        <v>557</v>
      </c>
      <c r="C310" s="131" t="s">
        <v>558</v>
      </c>
      <c r="D310" s="132" t="s">
        <v>44</v>
      </c>
      <c r="E310" s="46">
        <v>187.5</v>
      </c>
      <c r="F310" s="45">
        <v>120.0</v>
      </c>
      <c r="G310" s="46">
        <f t="shared" si="55"/>
        <v>22500</v>
      </c>
      <c r="H310" s="46"/>
      <c r="I310" s="311"/>
      <c r="J310" s="4"/>
      <c r="K310" s="5"/>
      <c r="L310" s="12"/>
      <c r="M310" s="293"/>
      <c r="N310" s="293"/>
      <c r="O310" s="293"/>
      <c r="P310" s="293"/>
      <c r="Q310" s="293"/>
      <c r="R310" s="12"/>
      <c r="S310" s="12"/>
      <c r="T310" s="12"/>
      <c r="U310" s="12"/>
      <c r="V310" s="12"/>
      <c r="W310" s="12"/>
      <c r="X310" s="12"/>
      <c r="Y310" s="12"/>
      <c r="Z310" s="12"/>
    </row>
    <row r="311" ht="28.5" customHeight="1">
      <c r="A311" s="42"/>
      <c r="B311" s="45" t="s">
        <v>559</v>
      </c>
      <c r="C311" s="38" t="s">
        <v>560</v>
      </c>
      <c r="D311" s="45" t="s">
        <v>44</v>
      </c>
      <c r="E311" s="46">
        <v>6516.25</v>
      </c>
      <c r="F311" s="45">
        <v>1.0</v>
      </c>
      <c r="G311" s="46">
        <f t="shared" si="55"/>
        <v>6516.25</v>
      </c>
      <c r="H311" s="46"/>
      <c r="I311" s="311"/>
      <c r="J311" s="4"/>
      <c r="K311" s="5"/>
      <c r="L311" s="12"/>
      <c r="M311" s="293"/>
      <c r="N311" s="293"/>
      <c r="O311" s="293"/>
      <c r="P311" s="293"/>
      <c r="Q311" s="293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42"/>
      <c r="B312" s="163" t="s">
        <v>561</v>
      </c>
      <c r="C312" s="44" t="s">
        <v>562</v>
      </c>
      <c r="D312" s="45" t="s">
        <v>18</v>
      </c>
      <c r="E312" s="46">
        <v>162.5</v>
      </c>
      <c r="F312" s="45">
        <v>24.0</v>
      </c>
      <c r="G312" s="46">
        <f t="shared" si="55"/>
        <v>3900</v>
      </c>
      <c r="H312" s="46"/>
      <c r="I312" s="311"/>
      <c r="J312" s="4"/>
      <c r="K312" s="5"/>
      <c r="L312" s="12"/>
      <c r="M312" s="293"/>
      <c r="N312" s="293"/>
      <c r="O312" s="293"/>
      <c r="P312" s="293"/>
      <c r="Q312" s="293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42"/>
      <c r="B313" s="45" t="s">
        <v>563</v>
      </c>
      <c r="C313" s="44" t="s">
        <v>253</v>
      </c>
      <c r="D313" s="45" t="s">
        <v>44</v>
      </c>
      <c r="E313" s="46">
        <v>8630.0</v>
      </c>
      <c r="F313" s="45">
        <v>1.0</v>
      </c>
      <c r="G313" s="46">
        <f t="shared" si="55"/>
        <v>8630</v>
      </c>
      <c r="H313" s="46"/>
      <c r="I313" s="311"/>
      <c r="J313" s="4"/>
      <c r="K313" s="5"/>
      <c r="L313" s="12"/>
      <c r="M313" s="293"/>
      <c r="N313" s="293"/>
      <c r="O313" s="293"/>
      <c r="P313" s="293"/>
      <c r="Q313" s="293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42"/>
      <c r="B314" s="45" t="s">
        <v>564</v>
      </c>
      <c r="C314" s="70" t="s">
        <v>255</v>
      </c>
      <c r="D314" s="45" t="s">
        <v>256</v>
      </c>
      <c r="E314" s="46">
        <v>3762.0</v>
      </c>
      <c r="F314" s="45">
        <v>1.0</v>
      </c>
      <c r="G314" s="46">
        <f t="shared" si="55"/>
        <v>3762</v>
      </c>
      <c r="H314" s="46"/>
      <c r="I314" s="311"/>
      <c r="J314" s="4"/>
      <c r="K314" s="5"/>
      <c r="L314" s="12"/>
      <c r="M314" s="293"/>
      <c r="N314" s="293"/>
      <c r="O314" s="293"/>
      <c r="P314" s="293"/>
      <c r="Q314" s="293"/>
      <c r="R314" s="12"/>
      <c r="S314" s="12"/>
      <c r="T314" s="12"/>
      <c r="U314" s="12"/>
      <c r="V314" s="12"/>
      <c r="W314" s="12"/>
      <c r="X314" s="12"/>
      <c r="Y314" s="12"/>
      <c r="Z314" s="12"/>
    </row>
    <row r="315" ht="28.5" customHeight="1">
      <c r="A315" s="42"/>
      <c r="B315" s="163" t="s">
        <v>565</v>
      </c>
      <c r="C315" s="70" t="s">
        <v>566</v>
      </c>
      <c r="D315" s="45" t="s">
        <v>44</v>
      </c>
      <c r="E315" s="46">
        <v>137.5</v>
      </c>
      <c r="F315" s="45">
        <v>20.0</v>
      </c>
      <c r="G315" s="46">
        <f t="shared" si="55"/>
        <v>2750</v>
      </c>
      <c r="H315" s="46"/>
      <c r="I315" s="311"/>
      <c r="J315" s="4"/>
      <c r="K315" s="5"/>
      <c r="L315" s="12"/>
      <c r="M315" s="293"/>
      <c r="N315" s="293"/>
      <c r="O315" s="293"/>
      <c r="P315" s="293"/>
      <c r="Q315" s="293"/>
      <c r="R315" s="12"/>
      <c r="S315" s="12"/>
      <c r="T315" s="12"/>
      <c r="U315" s="12"/>
      <c r="V315" s="12"/>
      <c r="W315" s="12"/>
      <c r="X315" s="12"/>
      <c r="Y315" s="12"/>
      <c r="Z315" s="12"/>
    </row>
    <row r="316" ht="28.5" customHeight="1">
      <c r="A316" s="42"/>
      <c r="B316" s="308">
        <v>28.0</v>
      </c>
      <c r="C316" s="309" t="s">
        <v>567</v>
      </c>
      <c r="D316" s="308"/>
      <c r="E316" s="310"/>
      <c r="F316" s="308"/>
      <c r="G316" s="310">
        <f>G317</f>
        <v>450000</v>
      </c>
      <c r="H316" s="310"/>
      <c r="I316" s="180"/>
      <c r="J316" s="11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customHeight="1">
      <c r="A317" s="42"/>
      <c r="B317" s="45" t="s">
        <v>568</v>
      </c>
      <c r="C317" s="90" t="s">
        <v>569</v>
      </c>
      <c r="D317" s="163" t="s">
        <v>570</v>
      </c>
      <c r="E317" s="46">
        <v>450000.0</v>
      </c>
      <c r="F317" s="45">
        <v>1.0</v>
      </c>
      <c r="G317" s="46">
        <f>E317*F317</f>
        <v>450000</v>
      </c>
      <c r="H317" s="46"/>
      <c r="I317" s="311"/>
      <c r="J317" s="4"/>
      <c r="K317" s="5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28.5" customHeight="1">
      <c r="A318" s="42"/>
      <c r="B318" s="308">
        <v>29.0</v>
      </c>
      <c r="C318" s="309" t="s">
        <v>571</v>
      </c>
      <c r="D318" s="313"/>
      <c r="E318" s="314"/>
      <c r="F318" s="313"/>
      <c r="G318" s="314"/>
      <c r="H318" s="314"/>
      <c r="I318" s="41"/>
      <c r="J318" s="11"/>
      <c r="K318" s="12"/>
      <c r="L318" s="5"/>
      <c r="M318" s="5"/>
      <c r="N318" s="5"/>
      <c r="O318" s="5"/>
      <c r="P318" s="5"/>
      <c r="Q318" s="235"/>
      <c r="R318" s="236"/>
      <c r="S318" s="236"/>
      <c r="T318" s="237"/>
      <c r="U318" s="236"/>
      <c r="V318" s="238"/>
      <c r="W318" s="238"/>
      <c r="X318" s="239"/>
      <c r="Y318" s="11"/>
      <c r="Z318" s="11"/>
    </row>
    <row r="319" ht="15.75" customHeight="1">
      <c r="A319" s="42"/>
      <c r="B319" s="163" t="s">
        <v>572</v>
      </c>
      <c r="C319" s="44" t="s">
        <v>172</v>
      </c>
      <c r="D319" s="163" t="s">
        <v>133</v>
      </c>
      <c r="E319" s="46"/>
      <c r="F319" s="45"/>
      <c r="G319" s="46"/>
      <c r="H319" s="164"/>
      <c r="I319" s="41"/>
      <c r="J319" s="11"/>
      <c r="K319" s="12"/>
      <c r="L319" s="315"/>
      <c r="M319" s="315"/>
      <c r="N319" s="315"/>
      <c r="O319" s="315"/>
      <c r="P319" s="315"/>
      <c r="Q319" s="316"/>
      <c r="R319" s="317"/>
      <c r="S319" s="317"/>
      <c r="T319" s="318"/>
      <c r="U319" s="317"/>
      <c r="V319" s="319"/>
      <c r="W319" s="319"/>
      <c r="X319" s="320"/>
      <c r="Y319" s="175"/>
      <c r="Z319" s="175"/>
    </row>
    <row r="320" ht="15.75" customHeight="1">
      <c r="A320" s="42"/>
      <c r="B320" s="163" t="s">
        <v>573</v>
      </c>
      <c r="C320" s="44" t="s">
        <v>574</v>
      </c>
      <c r="D320" s="163"/>
      <c r="E320" s="46"/>
      <c r="F320" s="45"/>
      <c r="G320" s="46"/>
      <c r="H320" s="164"/>
      <c r="I320" s="41"/>
      <c r="J320" s="11"/>
      <c r="K320" s="12"/>
      <c r="L320" s="5"/>
      <c r="M320" s="5"/>
      <c r="N320" s="5"/>
      <c r="O320" s="5"/>
      <c r="P320" s="5"/>
      <c r="Q320" s="235"/>
      <c r="R320" s="236"/>
      <c r="S320" s="236"/>
      <c r="T320" s="237"/>
      <c r="U320" s="236"/>
      <c r="V320" s="238"/>
      <c r="W320" s="238"/>
      <c r="X320" s="239"/>
      <c r="Y320" s="11"/>
      <c r="Z320" s="11"/>
    </row>
    <row r="321" ht="15.75" customHeight="1">
      <c r="A321" s="42"/>
      <c r="B321" s="163" t="s">
        <v>575</v>
      </c>
      <c r="C321" s="44" t="s">
        <v>576</v>
      </c>
      <c r="D321" s="163"/>
      <c r="E321" s="46"/>
      <c r="F321" s="45"/>
      <c r="G321" s="46"/>
      <c r="H321" s="164"/>
      <c r="I321" s="41"/>
      <c r="J321" s="11"/>
      <c r="K321" s="12"/>
      <c r="L321" s="315"/>
      <c r="M321" s="315"/>
      <c r="N321" s="315"/>
      <c r="O321" s="315"/>
      <c r="P321" s="315"/>
      <c r="Q321" s="316"/>
      <c r="R321" s="317"/>
      <c r="S321" s="317"/>
      <c r="T321" s="318"/>
      <c r="U321" s="317"/>
      <c r="V321" s="319"/>
      <c r="W321" s="319"/>
      <c r="X321" s="320"/>
      <c r="Y321" s="175"/>
      <c r="Z321" s="175"/>
    </row>
    <row r="322" ht="15.75" customHeight="1">
      <c r="A322" s="42"/>
      <c r="B322" s="163" t="s">
        <v>577</v>
      </c>
      <c r="C322" s="44" t="s">
        <v>578</v>
      </c>
      <c r="D322" s="163"/>
      <c r="E322" s="46"/>
      <c r="F322" s="45"/>
      <c r="G322" s="46"/>
      <c r="H322" s="164"/>
      <c r="I322" s="41"/>
      <c r="J322" s="11"/>
      <c r="K322" s="12"/>
      <c r="L322" s="315"/>
      <c r="M322" s="315"/>
      <c r="N322" s="315"/>
      <c r="O322" s="315"/>
      <c r="P322" s="315"/>
      <c r="Q322" s="316"/>
      <c r="R322" s="317"/>
      <c r="S322" s="317"/>
      <c r="T322" s="318"/>
      <c r="U322" s="317"/>
      <c r="V322" s="319"/>
      <c r="W322" s="319"/>
      <c r="X322" s="320"/>
      <c r="Y322" s="175"/>
      <c r="Z322" s="175"/>
    </row>
    <row r="323" ht="15.75" customHeight="1">
      <c r="A323" s="42"/>
      <c r="B323" s="163" t="s">
        <v>579</v>
      </c>
      <c r="C323" s="44" t="s">
        <v>580</v>
      </c>
      <c r="D323" s="163"/>
      <c r="E323" s="46"/>
      <c r="F323" s="45"/>
      <c r="G323" s="46"/>
      <c r="H323" s="164"/>
      <c r="I323" s="41"/>
      <c r="J323" s="11"/>
      <c r="K323" s="12"/>
      <c r="L323" s="315"/>
      <c r="M323" s="315"/>
      <c r="N323" s="315"/>
      <c r="O323" s="315"/>
      <c r="P323" s="315"/>
      <c r="Q323" s="316"/>
      <c r="R323" s="317"/>
      <c r="S323" s="317"/>
      <c r="T323" s="318"/>
      <c r="U323" s="317"/>
      <c r="V323" s="319"/>
      <c r="W323" s="319"/>
      <c r="X323" s="320"/>
      <c r="Y323" s="175"/>
      <c r="Z323" s="175"/>
    </row>
    <row r="324" ht="15.75" customHeight="1">
      <c r="A324" s="42"/>
      <c r="B324" s="163" t="s">
        <v>581</v>
      </c>
      <c r="C324" s="44" t="s">
        <v>582</v>
      </c>
      <c r="D324" s="163"/>
      <c r="E324" s="46"/>
      <c r="F324" s="45"/>
      <c r="G324" s="46"/>
      <c r="H324" s="164"/>
      <c r="I324" s="41"/>
      <c r="J324" s="11"/>
      <c r="K324" s="12"/>
      <c r="L324" s="315"/>
      <c r="M324" s="315"/>
      <c r="N324" s="315"/>
      <c r="O324" s="315"/>
      <c r="P324" s="315"/>
      <c r="Q324" s="316"/>
      <c r="R324" s="317"/>
      <c r="S324" s="317"/>
      <c r="T324" s="318"/>
      <c r="U324" s="317"/>
      <c r="V324" s="319"/>
      <c r="W324" s="319"/>
      <c r="X324" s="320"/>
      <c r="Y324" s="175"/>
      <c r="Z324" s="175"/>
    </row>
    <row r="325" ht="15.75" customHeight="1">
      <c r="A325" s="42"/>
      <c r="B325" s="163" t="s">
        <v>583</v>
      </c>
      <c r="C325" s="44" t="s">
        <v>584</v>
      </c>
      <c r="D325" s="163"/>
      <c r="E325" s="46"/>
      <c r="F325" s="45"/>
      <c r="G325" s="46"/>
      <c r="H325" s="164"/>
      <c r="I325" s="41"/>
      <c r="J325" s="11"/>
      <c r="K325" s="12"/>
      <c r="L325" s="315"/>
      <c r="M325" s="315"/>
      <c r="N325" s="315"/>
      <c r="O325" s="315"/>
      <c r="P325" s="315"/>
      <c r="Q325" s="316"/>
      <c r="R325" s="317"/>
      <c r="S325" s="317"/>
      <c r="T325" s="318"/>
      <c r="U325" s="317"/>
      <c r="V325" s="319"/>
      <c r="W325" s="319"/>
      <c r="X325" s="320"/>
      <c r="Y325" s="175"/>
      <c r="Z325" s="175"/>
    </row>
    <row r="326" ht="15.75" customHeight="1">
      <c r="A326" s="42"/>
      <c r="B326" s="163" t="s">
        <v>585</v>
      </c>
      <c r="C326" s="44" t="s">
        <v>586</v>
      </c>
      <c r="D326" s="163"/>
      <c r="E326" s="46"/>
      <c r="F326" s="45"/>
      <c r="G326" s="46"/>
      <c r="H326" s="164"/>
      <c r="I326" s="41"/>
      <c r="J326" s="11"/>
      <c r="K326" s="12"/>
      <c r="L326" s="315"/>
      <c r="M326" s="315"/>
      <c r="N326" s="315"/>
      <c r="O326" s="315"/>
      <c r="P326" s="315"/>
      <c r="Q326" s="316"/>
      <c r="R326" s="317"/>
      <c r="S326" s="317"/>
      <c r="T326" s="318"/>
      <c r="U326" s="317"/>
      <c r="V326" s="319"/>
      <c r="W326" s="319"/>
      <c r="X326" s="320"/>
      <c r="Y326" s="175"/>
      <c r="Z326" s="175"/>
    </row>
    <row r="327" ht="15.75" customHeight="1">
      <c r="A327" s="42"/>
      <c r="B327" s="163" t="s">
        <v>587</v>
      </c>
      <c r="C327" s="44" t="s">
        <v>588</v>
      </c>
      <c r="D327" s="163"/>
      <c r="E327" s="46"/>
      <c r="F327" s="45"/>
      <c r="G327" s="46"/>
      <c r="H327" s="164"/>
      <c r="I327" s="41"/>
      <c r="J327" s="11"/>
      <c r="K327" s="12"/>
      <c r="L327" s="315"/>
      <c r="M327" s="315"/>
      <c r="N327" s="315"/>
      <c r="O327" s="315"/>
      <c r="P327" s="315"/>
      <c r="Q327" s="316"/>
      <c r="R327" s="317"/>
      <c r="S327" s="317"/>
      <c r="T327" s="318"/>
      <c r="U327" s="317"/>
      <c r="V327" s="319"/>
      <c r="W327" s="319"/>
      <c r="X327" s="320"/>
      <c r="Y327" s="175"/>
      <c r="Z327" s="175"/>
    </row>
    <row r="328" ht="15.75" customHeight="1">
      <c r="A328" s="42"/>
      <c r="B328" s="163" t="s">
        <v>589</v>
      </c>
      <c r="C328" s="44" t="s">
        <v>180</v>
      </c>
      <c r="D328" s="163"/>
      <c r="E328" s="46"/>
      <c r="F328" s="45"/>
      <c r="G328" s="46"/>
      <c r="H328" s="164"/>
      <c r="I328" s="41"/>
      <c r="J328" s="11"/>
      <c r="K328" s="12"/>
      <c r="L328" s="315"/>
      <c r="M328" s="315"/>
      <c r="N328" s="315"/>
      <c r="O328" s="315"/>
      <c r="P328" s="315"/>
      <c r="Q328" s="316"/>
      <c r="R328" s="317"/>
      <c r="S328" s="317"/>
      <c r="T328" s="318"/>
      <c r="U328" s="317"/>
      <c r="V328" s="319"/>
      <c r="W328" s="319"/>
      <c r="X328" s="320"/>
      <c r="Y328" s="175"/>
      <c r="Z328" s="175"/>
    </row>
    <row r="329" ht="15.75" customHeight="1">
      <c r="A329" s="42"/>
      <c r="B329" s="163" t="s">
        <v>590</v>
      </c>
      <c r="C329" s="44" t="s">
        <v>187</v>
      </c>
      <c r="D329" s="163"/>
      <c r="E329" s="46"/>
      <c r="F329" s="45"/>
      <c r="G329" s="46"/>
      <c r="H329" s="164"/>
      <c r="I329" s="41"/>
      <c r="J329" s="11"/>
      <c r="K329" s="12"/>
      <c r="L329" s="315"/>
      <c r="M329" s="315"/>
      <c r="N329" s="315"/>
      <c r="O329" s="315"/>
      <c r="P329" s="315"/>
      <c r="Q329" s="316"/>
      <c r="R329" s="317"/>
      <c r="S329" s="317"/>
      <c r="T329" s="318"/>
      <c r="U329" s="317"/>
      <c r="V329" s="319"/>
      <c r="W329" s="319"/>
      <c r="X329" s="320"/>
      <c r="Y329" s="175"/>
      <c r="Z329" s="175"/>
    </row>
    <row r="330" ht="15.75" customHeight="1">
      <c r="A330" s="42"/>
      <c r="B330" s="163" t="s">
        <v>591</v>
      </c>
      <c r="C330" s="44" t="s">
        <v>592</v>
      </c>
      <c r="D330" s="163"/>
      <c r="E330" s="46"/>
      <c r="F330" s="45"/>
      <c r="G330" s="46"/>
      <c r="H330" s="164"/>
      <c r="I330" s="41"/>
      <c r="J330" s="11"/>
      <c r="K330" s="12"/>
      <c r="L330" s="315"/>
      <c r="M330" s="315"/>
      <c r="N330" s="315"/>
      <c r="O330" s="315"/>
      <c r="P330" s="315"/>
      <c r="Q330" s="316"/>
      <c r="R330" s="317"/>
      <c r="S330" s="317"/>
      <c r="T330" s="318"/>
      <c r="U330" s="317"/>
      <c r="V330" s="319"/>
      <c r="W330" s="319"/>
      <c r="X330" s="320"/>
      <c r="Y330" s="175"/>
      <c r="Z330" s="175"/>
    </row>
    <row r="331" ht="15.75" customHeight="1">
      <c r="A331" s="42"/>
      <c r="B331" s="163" t="s">
        <v>593</v>
      </c>
      <c r="C331" s="44" t="s">
        <v>594</v>
      </c>
      <c r="D331" s="163"/>
      <c r="E331" s="46"/>
      <c r="F331" s="45"/>
      <c r="G331" s="46"/>
      <c r="H331" s="164"/>
      <c r="I331" s="41"/>
      <c r="J331" s="11"/>
      <c r="K331" s="12"/>
      <c r="L331" s="5"/>
      <c r="M331" s="5"/>
      <c r="N331" s="5"/>
      <c r="O331" s="5"/>
      <c r="P331" s="5"/>
      <c r="Q331" s="235"/>
      <c r="R331" s="236"/>
      <c r="S331" s="236"/>
      <c r="T331" s="237"/>
      <c r="U331" s="236"/>
      <c r="V331" s="238"/>
      <c r="W331" s="238"/>
      <c r="X331" s="239"/>
      <c r="Y331" s="11"/>
      <c r="Z331" s="11"/>
    </row>
    <row r="332" ht="15.75" customHeight="1">
      <c r="A332" s="42"/>
      <c r="B332" s="163" t="s">
        <v>595</v>
      </c>
      <c r="C332" s="182" t="s">
        <v>596</v>
      </c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28.5" customHeight="1">
      <c r="A333" s="4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21.75" customHeight="1">
      <c r="A334" s="42"/>
      <c r="B334" s="277">
        <v>30.0</v>
      </c>
      <c r="C334" s="193" t="s">
        <v>597</v>
      </c>
      <c r="D334" s="193"/>
      <c r="E334" s="194"/>
      <c r="F334" s="193"/>
      <c r="G334" s="195"/>
      <c r="H334" s="195"/>
      <c r="I334" s="49" t="s">
        <v>47</v>
      </c>
      <c r="J334" s="4">
        <v>19262.0</v>
      </c>
      <c r="K334" s="196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customHeight="1">
      <c r="A335" s="42"/>
      <c r="B335" s="45" t="s">
        <v>598</v>
      </c>
      <c r="C335" s="44" t="s">
        <v>599</v>
      </c>
      <c r="D335" s="45" t="s">
        <v>600</v>
      </c>
      <c r="E335" s="46">
        <v>1685.0</v>
      </c>
      <c r="F335" s="45">
        <v>1.0</v>
      </c>
      <c r="G335" s="46">
        <f t="shared" ref="G335:G337" si="57">E335*F335</f>
        <v>1685</v>
      </c>
      <c r="H335" s="94"/>
      <c r="I335" s="41"/>
      <c r="J335" s="4">
        <v>19262.0</v>
      </c>
      <c r="K335" s="5"/>
      <c r="L335" s="5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42"/>
      <c r="B336" s="45" t="s">
        <v>601</v>
      </c>
      <c r="C336" s="44" t="s">
        <v>602</v>
      </c>
      <c r="D336" s="45" t="s">
        <v>600</v>
      </c>
      <c r="E336" s="46">
        <v>1230.0</v>
      </c>
      <c r="F336" s="45">
        <v>1.0</v>
      </c>
      <c r="G336" s="46">
        <f t="shared" si="57"/>
        <v>1230</v>
      </c>
      <c r="H336" s="94"/>
      <c r="I336" s="41"/>
      <c r="J336" s="4"/>
      <c r="K336" s="315"/>
      <c r="L336" s="5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customHeight="1">
      <c r="A337" s="42"/>
      <c r="B337" s="45" t="s">
        <v>603</v>
      </c>
      <c r="C337" s="44" t="s">
        <v>333</v>
      </c>
      <c r="D337" s="45" t="s">
        <v>202</v>
      </c>
      <c r="E337" s="164">
        <v>862.5</v>
      </c>
      <c r="F337" s="45">
        <v>1.0</v>
      </c>
      <c r="G337" s="46">
        <f t="shared" si="57"/>
        <v>862.5</v>
      </c>
      <c r="H337" s="164">
        <v>862.5</v>
      </c>
      <c r="I337" s="41"/>
      <c r="J337" s="4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9.5" customHeight="1">
      <c r="A338" s="42"/>
      <c r="B338" s="277">
        <v>31.0</v>
      </c>
      <c r="C338" s="287" t="s">
        <v>604</v>
      </c>
      <c r="D338" s="287"/>
      <c r="E338" s="288"/>
      <c r="F338" s="287"/>
      <c r="G338" s="195">
        <f t="shared" ref="G338:H338" si="58">SUM(G339:G340)</f>
        <v>48475</v>
      </c>
      <c r="H338" s="195">
        <f t="shared" si="58"/>
        <v>6423.75</v>
      </c>
      <c r="I338" s="41"/>
      <c r="J338" s="4">
        <f>G338</f>
        <v>48475</v>
      </c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42"/>
      <c r="B339" s="82" t="s">
        <v>605</v>
      </c>
      <c r="C339" s="321" t="s">
        <v>606</v>
      </c>
      <c r="D339" s="82" t="s">
        <v>607</v>
      </c>
      <c r="E339" s="81">
        <v>6423.75</v>
      </c>
      <c r="F339" s="82">
        <v>4.0</v>
      </c>
      <c r="G339" s="46">
        <f t="shared" ref="G339:G340" si="59">E339*F339</f>
        <v>25695</v>
      </c>
      <c r="H339" s="81">
        <v>6423.75</v>
      </c>
      <c r="I339" s="322"/>
      <c r="J339" s="4">
        <f>J338</f>
        <v>48475</v>
      </c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42"/>
      <c r="B340" s="82" t="s">
        <v>608</v>
      </c>
      <c r="C340" s="321" t="s">
        <v>609</v>
      </c>
      <c r="D340" s="82" t="s">
        <v>610</v>
      </c>
      <c r="E340" s="81">
        <v>22780.0</v>
      </c>
      <c r="F340" s="82">
        <v>1.0</v>
      </c>
      <c r="G340" s="46">
        <f t="shared" si="59"/>
        <v>22780</v>
      </c>
      <c r="H340" s="323"/>
      <c r="I340" s="322"/>
      <c r="J340" s="4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21.0" customHeight="1">
      <c r="A341" s="42"/>
      <c r="B341" s="277">
        <v>32.0</v>
      </c>
      <c r="C341" s="287" t="s">
        <v>611</v>
      </c>
      <c r="D341" s="287"/>
      <c r="E341" s="288"/>
      <c r="F341" s="287"/>
      <c r="G341" s="195">
        <f t="shared" ref="G341:H341" si="60">SUM(G342:G343)</f>
        <v>9107</v>
      </c>
      <c r="H341" s="195">
        <f t="shared" si="60"/>
        <v>0</v>
      </c>
      <c r="I341" s="41"/>
      <c r="J341" s="4">
        <f>G341</f>
        <v>9107</v>
      </c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42"/>
      <c r="B342" s="45" t="s">
        <v>612</v>
      </c>
      <c r="C342" s="324" t="s">
        <v>613</v>
      </c>
      <c r="D342" s="45" t="s">
        <v>614</v>
      </c>
      <c r="E342" s="46">
        <v>3762.0</v>
      </c>
      <c r="F342" s="45">
        <v>1.0</v>
      </c>
      <c r="G342" s="46">
        <f t="shared" ref="G342:G344" si="61">E342*F342</f>
        <v>3762</v>
      </c>
      <c r="H342" s="46"/>
      <c r="I342" s="325"/>
      <c r="J342" s="11"/>
      <c r="K342" s="5"/>
      <c r="L342" s="5"/>
      <c r="M342" s="12"/>
      <c r="N342" s="12"/>
      <c r="O342" s="12"/>
      <c r="P342" s="12"/>
      <c r="Q342" s="12"/>
      <c r="R342" s="12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42"/>
      <c r="B343" s="45" t="s">
        <v>615</v>
      </c>
      <c r="C343" s="324" t="s">
        <v>616</v>
      </c>
      <c r="D343" s="45" t="s">
        <v>44</v>
      </c>
      <c r="E343" s="46">
        <v>5345.0</v>
      </c>
      <c r="F343" s="45">
        <v>1.0</v>
      </c>
      <c r="G343" s="46">
        <f t="shared" si="61"/>
        <v>5345</v>
      </c>
      <c r="H343" s="46"/>
      <c r="I343" s="291"/>
      <c r="J343" s="11"/>
      <c r="K343" s="5"/>
      <c r="L343" s="12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42"/>
      <c r="B344" s="45" t="s">
        <v>617</v>
      </c>
      <c r="C344" s="324" t="s">
        <v>618</v>
      </c>
      <c r="D344" s="45" t="s">
        <v>44</v>
      </c>
      <c r="E344" s="46">
        <v>986.25</v>
      </c>
      <c r="F344" s="45">
        <v>1.0</v>
      </c>
      <c r="G344" s="46">
        <f t="shared" si="61"/>
        <v>986.25</v>
      </c>
      <c r="H344" s="46"/>
      <c r="I344" s="326"/>
      <c r="J344" s="4"/>
      <c r="K344" s="5"/>
      <c r="L344" s="12"/>
      <c r="M344" s="12"/>
      <c r="N344" s="12"/>
      <c r="O344" s="12"/>
      <c r="P344" s="12"/>
      <c r="Q344" s="12"/>
      <c r="R344" s="12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42"/>
      <c r="B345" s="93"/>
      <c r="C345" s="44"/>
      <c r="D345" s="44"/>
      <c r="E345" s="46"/>
      <c r="F345" s="93"/>
      <c r="G345" s="46"/>
      <c r="H345" s="94"/>
      <c r="I345" s="41"/>
      <c r="J345" s="4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42"/>
      <c r="B346" s="93"/>
      <c r="C346" s="41"/>
      <c r="D346" s="327"/>
      <c r="E346" s="328"/>
      <c r="F346" s="328"/>
      <c r="G346" s="328"/>
      <c r="H346" s="328"/>
      <c r="I346" s="329"/>
      <c r="J346" s="330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42"/>
      <c r="B347" s="93"/>
      <c r="C347" s="44"/>
      <c r="D347" s="44"/>
      <c r="E347" s="46"/>
      <c r="F347" s="93"/>
      <c r="G347" s="46"/>
      <c r="H347" s="94"/>
      <c r="I347" s="41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42"/>
      <c r="B348" s="93"/>
      <c r="C348" s="44"/>
      <c r="D348" s="44"/>
      <c r="E348" s="46"/>
      <c r="F348" s="93"/>
      <c r="G348" s="46"/>
      <c r="H348" s="94"/>
      <c r="I348" s="41"/>
      <c r="J348" s="4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42"/>
      <c r="B349" s="93"/>
      <c r="C349" s="44"/>
      <c r="D349" s="44"/>
      <c r="E349" s="46"/>
      <c r="F349" s="93"/>
      <c r="G349" s="46"/>
      <c r="H349" s="94"/>
      <c r="I349" s="41"/>
      <c r="J349" s="4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42"/>
      <c r="B350" s="93"/>
      <c r="C350" s="44"/>
      <c r="D350" s="44"/>
      <c r="E350" s="46"/>
      <c r="F350" s="93"/>
      <c r="G350" s="46"/>
      <c r="H350" s="94"/>
      <c r="I350" s="41"/>
      <c r="J350" s="4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42"/>
      <c r="B351" s="93"/>
      <c r="C351" s="44"/>
      <c r="D351" s="44"/>
      <c r="E351" s="46"/>
      <c r="F351" s="93"/>
      <c r="G351" s="46"/>
      <c r="H351" s="94"/>
      <c r="I351" s="41"/>
      <c r="J351" s="4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42"/>
      <c r="B352" s="93"/>
      <c r="C352" s="44"/>
      <c r="D352" s="44"/>
      <c r="E352" s="46"/>
      <c r="F352" s="93"/>
      <c r="G352" s="46"/>
      <c r="H352" s="94"/>
      <c r="I352" s="41"/>
      <c r="J352" s="4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42"/>
      <c r="B353" s="93"/>
      <c r="C353" s="44"/>
      <c r="D353" s="44"/>
      <c r="E353" s="46"/>
      <c r="F353" s="93"/>
      <c r="G353" s="46"/>
      <c r="H353" s="94"/>
      <c r="I353" s="41"/>
      <c r="J353" s="4"/>
      <c r="K353" s="12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42"/>
      <c r="B354" s="93"/>
      <c r="C354" s="44"/>
      <c r="D354" s="44"/>
      <c r="E354" s="46"/>
      <c r="F354" s="93"/>
      <c r="G354" s="46"/>
      <c r="H354" s="94"/>
      <c r="I354" s="41"/>
      <c r="J354" s="4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42"/>
      <c r="B355" s="93"/>
      <c r="C355" s="44"/>
      <c r="D355" s="44"/>
      <c r="E355" s="46"/>
      <c r="F355" s="93"/>
      <c r="G355" s="46"/>
      <c r="H355" s="94"/>
      <c r="I355" s="41"/>
      <c r="J355" s="4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42"/>
      <c r="B356" s="93"/>
      <c r="C356" s="44"/>
      <c r="D356" s="44"/>
      <c r="E356" s="46"/>
      <c r="F356" s="93"/>
      <c r="G356" s="46"/>
      <c r="H356" s="94"/>
      <c r="I356" s="41"/>
      <c r="J356" s="4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42"/>
      <c r="B357" s="93"/>
      <c r="C357" s="44"/>
      <c r="D357" s="44"/>
      <c r="E357" s="46"/>
      <c r="F357" s="93"/>
      <c r="G357" s="46"/>
      <c r="H357" s="94"/>
      <c r="I357" s="41"/>
      <c r="J357" s="4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42"/>
      <c r="B358" s="93"/>
      <c r="C358" s="44"/>
      <c r="D358" s="44"/>
      <c r="E358" s="46"/>
      <c r="F358" s="93"/>
      <c r="G358" s="46"/>
      <c r="H358" s="94"/>
      <c r="I358" s="41"/>
      <c r="J358" s="4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42"/>
      <c r="B359" s="93"/>
      <c r="C359" s="44"/>
      <c r="D359" s="44"/>
      <c r="E359" s="46"/>
      <c r="F359" s="93"/>
      <c r="G359" s="46"/>
      <c r="H359" s="94"/>
      <c r="I359" s="41"/>
      <c r="J359" s="4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42"/>
      <c r="B360" s="93"/>
      <c r="C360" s="44"/>
      <c r="D360" s="44"/>
      <c r="E360" s="46"/>
      <c r="F360" s="93"/>
      <c r="G360" s="46"/>
      <c r="H360" s="94"/>
      <c r="I360" s="41"/>
      <c r="J360" s="4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42"/>
      <c r="B361" s="93"/>
      <c r="C361" s="44"/>
      <c r="D361" s="44"/>
      <c r="E361" s="46"/>
      <c r="F361" s="93"/>
      <c r="G361" s="46"/>
      <c r="H361" s="94"/>
      <c r="I361" s="41"/>
      <c r="J361" s="4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42"/>
      <c r="B362" s="93"/>
      <c r="C362" s="44"/>
      <c r="D362" s="44"/>
      <c r="E362" s="46"/>
      <c r="F362" s="93"/>
      <c r="G362" s="46"/>
      <c r="H362" s="94"/>
      <c r="I362" s="41"/>
      <c r="J362" s="4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42"/>
      <c r="B363" s="93"/>
      <c r="C363" s="44"/>
      <c r="D363" s="44"/>
      <c r="E363" s="46"/>
      <c r="F363" s="93"/>
      <c r="G363" s="46"/>
      <c r="H363" s="94"/>
      <c r="I363" s="41"/>
      <c r="J363" s="4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42"/>
      <c r="B364" s="93"/>
      <c r="C364" s="44"/>
      <c r="D364" s="44"/>
      <c r="E364" s="46"/>
      <c r="F364" s="93"/>
      <c r="G364" s="46"/>
      <c r="H364" s="94"/>
      <c r="I364" s="41"/>
      <c r="J364" s="4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42"/>
      <c r="B365" s="93"/>
      <c r="C365" s="44"/>
      <c r="D365" s="44"/>
      <c r="E365" s="46"/>
      <c r="F365" s="93"/>
      <c r="G365" s="46"/>
      <c r="H365" s="94"/>
      <c r="I365" s="41"/>
      <c r="J365" s="4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42"/>
      <c r="B366" s="93"/>
      <c r="C366" s="44"/>
      <c r="D366" s="44"/>
      <c r="E366" s="46"/>
      <c r="F366" s="93"/>
      <c r="G366" s="46"/>
      <c r="H366" s="94"/>
      <c r="I366" s="41"/>
      <c r="J366" s="4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42"/>
      <c r="B367" s="93"/>
      <c r="C367" s="44"/>
      <c r="D367" s="44"/>
      <c r="E367" s="46"/>
      <c r="F367" s="93"/>
      <c r="G367" s="46"/>
      <c r="H367" s="94"/>
      <c r="I367" s="41"/>
      <c r="J367" s="4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42"/>
      <c r="B368" s="93"/>
      <c r="C368" s="44"/>
      <c r="D368" s="44"/>
      <c r="E368" s="46"/>
      <c r="F368" s="93"/>
      <c r="G368" s="46"/>
      <c r="H368" s="94"/>
      <c r="I368" s="41"/>
      <c r="J368" s="4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42"/>
      <c r="B369" s="93"/>
      <c r="C369" s="44"/>
      <c r="D369" s="44"/>
      <c r="E369" s="46"/>
      <c r="F369" s="93"/>
      <c r="G369" s="46"/>
      <c r="H369" s="94"/>
      <c r="I369" s="41"/>
      <c r="J369" s="4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42"/>
      <c r="B370" s="93"/>
      <c r="C370" s="44"/>
      <c r="D370" s="44"/>
      <c r="E370" s="46"/>
      <c r="F370" s="93"/>
      <c r="G370" s="46"/>
      <c r="H370" s="94"/>
      <c r="I370" s="41"/>
      <c r="J370" s="4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42"/>
      <c r="B371" s="93"/>
      <c r="C371" s="44"/>
      <c r="D371" s="44"/>
      <c r="E371" s="46"/>
      <c r="F371" s="93"/>
      <c r="G371" s="46"/>
      <c r="H371" s="94"/>
      <c r="I371" s="41"/>
      <c r="J371" s="4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42"/>
      <c r="B372" s="93"/>
      <c r="C372" s="44"/>
      <c r="D372" s="44"/>
      <c r="E372" s="46"/>
      <c r="F372" s="93"/>
      <c r="G372" s="46"/>
      <c r="H372" s="94"/>
      <c r="I372" s="41"/>
      <c r="J372" s="4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42"/>
      <c r="B373" s="93"/>
      <c r="C373" s="44"/>
      <c r="D373" s="44"/>
      <c r="E373" s="46"/>
      <c r="F373" s="93"/>
      <c r="G373" s="46"/>
      <c r="H373" s="94"/>
      <c r="I373" s="41"/>
      <c r="J373" s="4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42"/>
      <c r="B374" s="93"/>
      <c r="C374" s="44"/>
      <c r="D374" s="44"/>
      <c r="E374" s="46"/>
      <c r="F374" s="93"/>
      <c r="G374" s="46"/>
      <c r="H374" s="94"/>
      <c r="I374" s="41"/>
      <c r="J374" s="4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42"/>
      <c r="B375" s="93"/>
      <c r="C375" s="44"/>
      <c r="D375" s="44"/>
      <c r="E375" s="46"/>
      <c r="F375" s="93"/>
      <c r="G375" s="46"/>
      <c r="H375" s="94"/>
      <c r="I375" s="41"/>
      <c r="J375" s="4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42"/>
      <c r="B376" s="93"/>
      <c r="C376" s="44"/>
      <c r="D376" s="44"/>
      <c r="E376" s="46"/>
      <c r="F376" s="93"/>
      <c r="G376" s="46"/>
      <c r="H376" s="94"/>
      <c r="I376" s="41"/>
      <c r="J376" s="4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42"/>
      <c r="B377" s="93"/>
      <c r="C377" s="44"/>
      <c r="D377" s="44"/>
      <c r="E377" s="46"/>
      <c r="F377" s="93"/>
      <c r="G377" s="46"/>
      <c r="H377" s="94"/>
      <c r="I377" s="41"/>
      <c r="J377" s="4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42"/>
      <c r="B378" s="93"/>
      <c r="C378" s="44"/>
      <c r="D378" s="44"/>
      <c r="E378" s="46"/>
      <c r="F378" s="93"/>
      <c r="G378" s="46"/>
      <c r="H378" s="94"/>
      <c r="I378" s="41"/>
      <c r="J378" s="4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42"/>
      <c r="B379" s="93"/>
      <c r="C379" s="44"/>
      <c r="D379" s="44"/>
      <c r="E379" s="46"/>
      <c r="F379" s="93"/>
      <c r="G379" s="46"/>
      <c r="H379" s="94"/>
      <c r="I379" s="41"/>
      <c r="J379" s="4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42"/>
      <c r="B380" s="93"/>
      <c r="C380" s="44"/>
      <c r="D380" s="44"/>
      <c r="E380" s="46"/>
      <c r="F380" s="93"/>
      <c r="G380" s="46"/>
      <c r="H380" s="94"/>
      <c r="I380" s="41"/>
      <c r="J380" s="4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42"/>
      <c r="B381" s="93"/>
      <c r="C381" s="44"/>
      <c r="D381" s="44"/>
      <c r="E381" s="46"/>
      <c r="F381" s="93"/>
      <c r="G381" s="46"/>
      <c r="H381" s="94"/>
      <c r="I381" s="41"/>
      <c r="J381" s="4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42"/>
      <c r="B382" s="93"/>
      <c r="C382" s="44"/>
      <c r="D382" s="44"/>
      <c r="E382" s="46"/>
      <c r="F382" s="93"/>
      <c r="G382" s="46"/>
      <c r="H382" s="94"/>
      <c r="I382" s="41"/>
      <c r="J382" s="4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42"/>
      <c r="B383" s="93"/>
      <c r="C383" s="44"/>
      <c r="D383" s="44"/>
      <c r="E383" s="46"/>
      <c r="F383" s="93"/>
      <c r="G383" s="46"/>
      <c r="H383" s="94"/>
      <c r="I383" s="41"/>
      <c r="J383" s="4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42"/>
      <c r="B384" s="93"/>
      <c r="C384" s="44"/>
      <c r="D384" s="44"/>
      <c r="E384" s="46"/>
      <c r="F384" s="93"/>
      <c r="G384" s="46"/>
      <c r="H384" s="94"/>
      <c r="I384" s="41"/>
      <c r="J384" s="4"/>
      <c r="K384" s="5"/>
      <c r="L384" s="183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42"/>
      <c r="B385" s="93"/>
      <c r="C385" s="44"/>
      <c r="D385" s="44"/>
      <c r="E385" s="46"/>
      <c r="F385" s="93"/>
      <c r="G385" s="46"/>
      <c r="H385" s="94"/>
      <c r="I385" s="41"/>
      <c r="J385" s="4"/>
      <c r="K385" s="5"/>
      <c r="L385" s="12"/>
      <c r="M385" s="183"/>
      <c r="N385" s="183"/>
      <c r="O385" s="183"/>
      <c r="P385" s="183"/>
      <c r="Q385" s="183"/>
      <c r="R385" s="183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42"/>
      <c r="B386" s="93"/>
      <c r="C386" s="44"/>
      <c r="D386" s="44"/>
      <c r="E386" s="46"/>
      <c r="F386" s="93"/>
      <c r="G386" s="46"/>
      <c r="H386" s="94"/>
      <c r="I386" s="41"/>
      <c r="J386" s="4"/>
      <c r="K386" s="5"/>
      <c r="L386" s="12"/>
      <c r="M386" s="12"/>
      <c r="N386" s="12"/>
      <c r="O386" s="12"/>
      <c r="P386" s="12"/>
      <c r="Q386" s="12"/>
      <c r="R386" s="12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42"/>
      <c r="B387" s="93"/>
      <c r="C387" s="44"/>
      <c r="D387" s="44"/>
      <c r="E387" s="46"/>
      <c r="F387" s="93"/>
      <c r="G387" s="46"/>
      <c r="H387" s="94"/>
      <c r="I387" s="41"/>
      <c r="J387" s="4"/>
      <c r="K387" s="5"/>
      <c r="L387" s="12"/>
      <c r="M387" s="12"/>
      <c r="N387" s="12"/>
      <c r="O387" s="12"/>
      <c r="P387" s="12"/>
      <c r="Q387" s="12"/>
      <c r="R387" s="12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42"/>
      <c r="B388" s="93"/>
      <c r="C388" s="44"/>
      <c r="D388" s="44"/>
      <c r="E388" s="46"/>
      <c r="F388" s="93"/>
      <c r="G388" s="46"/>
      <c r="H388" s="94"/>
      <c r="I388" s="41"/>
      <c r="J388" s="4"/>
      <c r="K388" s="5"/>
      <c r="L388" s="12"/>
      <c r="M388" s="12"/>
      <c r="N388" s="12"/>
      <c r="O388" s="12"/>
      <c r="P388" s="12"/>
      <c r="Q388" s="12"/>
      <c r="R388" s="12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42"/>
      <c r="B389" s="93"/>
      <c r="C389" s="44"/>
      <c r="D389" s="44"/>
      <c r="E389" s="46"/>
      <c r="F389" s="93"/>
      <c r="G389" s="46"/>
      <c r="H389" s="94"/>
      <c r="I389" s="41"/>
      <c r="J389" s="4"/>
      <c r="K389" s="5"/>
      <c r="L389" s="5"/>
      <c r="M389" s="12"/>
      <c r="N389" s="12"/>
      <c r="O389" s="12"/>
      <c r="P389" s="12"/>
      <c r="Q389" s="12"/>
      <c r="R389" s="12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42"/>
      <c r="B390" s="93"/>
      <c r="C390" s="44"/>
      <c r="D390" s="44"/>
      <c r="E390" s="46"/>
      <c r="F390" s="93"/>
      <c r="G390" s="46"/>
      <c r="H390" s="94"/>
      <c r="I390" s="41"/>
      <c r="J390" s="4"/>
      <c r="K390" s="5"/>
      <c r="L390" s="12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42"/>
      <c r="B391" s="93"/>
      <c r="C391" s="44"/>
      <c r="D391" s="44"/>
      <c r="E391" s="46"/>
      <c r="F391" s="93"/>
      <c r="G391" s="46"/>
      <c r="H391" s="94"/>
      <c r="I391" s="41"/>
      <c r="J391" s="4"/>
      <c r="K391" s="5"/>
      <c r="L391" s="12"/>
      <c r="M391" s="12"/>
      <c r="N391" s="12"/>
      <c r="O391" s="12"/>
      <c r="P391" s="12"/>
      <c r="Q391" s="12"/>
      <c r="R391" s="12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42"/>
      <c r="B392" s="93"/>
      <c r="C392" s="44"/>
      <c r="D392" s="44"/>
      <c r="E392" s="46"/>
      <c r="F392" s="93"/>
      <c r="G392" s="46"/>
      <c r="H392" s="94"/>
      <c r="I392" s="41"/>
      <c r="J392" s="4"/>
      <c r="K392" s="5"/>
      <c r="L392" s="5"/>
      <c r="M392" s="12"/>
      <c r="N392" s="12"/>
      <c r="O392" s="12"/>
      <c r="P392" s="12"/>
      <c r="Q392" s="12"/>
      <c r="R392" s="12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42"/>
      <c r="B393" s="93"/>
      <c r="C393" s="44"/>
      <c r="D393" s="44"/>
      <c r="E393" s="46"/>
      <c r="F393" s="93"/>
      <c r="G393" s="46"/>
      <c r="H393" s="94"/>
      <c r="I393" s="41"/>
      <c r="J393" s="4"/>
      <c r="K393" s="183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42"/>
      <c r="B394" s="93"/>
      <c r="C394" s="44"/>
      <c r="D394" s="44"/>
      <c r="E394" s="46"/>
      <c r="F394" s="93"/>
      <c r="G394" s="46"/>
      <c r="H394" s="94"/>
      <c r="I394" s="41"/>
      <c r="J394" s="4"/>
      <c r="K394" s="12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42"/>
      <c r="B395" s="93"/>
      <c r="C395" s="44"/>
      <c r="D395" s="44"/>
      <c r="E395" s="46"/>
      <c r="F395" s="93"/>
      <c r="G395" s="46"/>
      <c r="H395" s="94"/>
      <c r="I395" s="41"/>
      <c r="J395" s="4"/>
      <c r="K395" s="12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42"/>
      <c r="B396" s="93"/>
      <c r="C396" s="44"/>
      <c r="D396" s="44"/>
      <c r="E396" s="46"/>
      <c r="F396" s="93"/>
      <c r="G396" s="46"/>
      <c r="H396" s="94"/>
      <c r="I396" s="41"/>
      <c r="J396" s="4"/>
      <c r="K396" s="12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42"/>
      <c r="B397" s="93"/>
      <c r="C397" s="44"/>
      <c r="D397" s="44"/>
      <c r="E397" s="46"/>
      <c r="F397" s="93"/>
      <c r="G397" s="46"/>
      <c r="H397" s="94"/>
      <c r="I397" s="41"/>
      <c r="J397" s="4"/>
      <c r="K397" s="12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42"/>
      <c r="B398" s="93"/>
      <c r="C398" s="44"/>
      <c r="D398" s="44"/>
      <c r="E398" s="46"/>
      <c r="F398" s="93"/>
      <c r="G398" s="46"/>
      <c r="H398" s="94"/>
      <c r="I398" s="41"/>
      <c r="J398" s="4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42"/>
      <c r="B399" s="93"/>
      <c r="C399" s="44"/>
      <c r="D399" s="44"/>
      <c r="E399" s="46"/>
      <c r="F399" s="93"/>
      <c r="G399" s="46"/>
      <c r="H399" s="94"/>
      <c r="I399" s="41"/>
      <c r="J399" s="4"/>
      <c r="K399" s="12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42"/>
      <c r="B400" s="93"/>
      <c r="C400" s="44"/>
      <c r="D400" s="44"/>
      <c r="E400" s="46"/>
      <c r="F400" s="93"/>
      <c r="G400" s="46"/>
      <c r="H400" s="94"/>
      <c r="I400" s="41"/>
      <c r="J400" s="4"/>
      <c r="K400" s="12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42"/>
      <c r="B401" s="93"/>
      <c r="C401" s="44"/>
      <c r="D401" s="44"/>
      <c r="E401" s="46"/>
      <c r="F401" s="93"/>
      <c r="G401" s="46"/>
      <c r="H401" s="94"/>
      <c r="I401" s="41"/>
      <c r="J401" s="4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42"/>
      <c r="B402" s="93"/>
      <c r="C402" s="44"/>
      <c r="D402" s="44"/>
      <c r="E402" s="46"/>
      <c r="F402" s="93"/>
      <c r="G402" s="46"/>
      <c r="H402" s="94"/>
      <c r="I402" s="41"/>
      <c r="J402" s="4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42"/>
      <c r="B403" s="93"/>
      <c r="C403" s="44"/>
      <c r="D403" s="44"/>
      <c r="E403" s="46"/>
      <c r="F403" s="93"/>
      <c r="G403" s="46"/>
      <c r="H403" s="94"/>
      <c r="I403" s="41"/>
      <c r="J403" s="4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42"/>
      <c r="B404" s="93"/>
      <c r="C404" s="44"/>
      <c r="D404" s="44"/>
      <c r="E404" s="46"/>
      <c r="F404" s="93"/>
      <c r="G404" s="46"/>
      <c r="H404" s="94"/>
      <c r="I404" s="41"/>
      <c r="J404" s="4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42"/>
      <c r="B405" s="93"/>
      <c r="C405" s="44"/>
      <c r="D405" s="44"/>
      <c r="E405" s="46"/>
      <c r="F405" s="93"/>
      <c r="G405" s="46"/>
      <c r="H405" s="94"/>
      <c r="I405" s="41"/>
      <c r="J405" s="4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42"/>
      <c r="B406" s="93"/>
      <c r="C406" s="44"/>
      <c r="D406" s="44"/>
      <c r="E406" s="46"/>
      <c r="F406" s="93"/>
      <c r="G406" s="46"/>
      <c r="H406" s="94"/>
      <c r="I406" s="41"/>
      <c r="J406" s="4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42"/>
      <c r="B407" s="93"/>
      <c r="C407" s="44"/>
      <c r="D407" s="44"/>
      <c r="E407" s="46"/>
      <c r="F407" s="93"/>
      <c r="G407" s="46"/>
      <c r="H407" s="94"/>
      <c r="I407" s="41"/>
      <c r="J407" s="4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42"/>
      <c r="B408" s="93"/>
      <c r="C408" s="44"/>
      <c r="D408" s="44"/>
      <c r="E408" s="46"/>
      <c r="F408" s="93"/>
      <c r="G408" s="46"/>
      <c r="H408" s="94"/>
      <c r="I408" s="41"/>
      <c r="J408" s="4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42"/>
      <c r="B409" s="93"/>
      <c r="C409" s="44"/>
      <c r="D409" s="44"/>
      <c r="E409" s="46"/>
      <c r="F409" s="93"/>
      <c r="G409" s="46"/>
      <c r="H409" s="94"/>
      <c r="I409" s="41"/>
      <c r="J409" s="4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42"/>
      <c r="B410" s="93"/>
      <c r="C410" s="44"/>
      <c r="D410" s="44"/>
      <c r="E410" s="46"/>
      <c r="F410" s="93"/>
      <c r="G410" s="46"/>
      <c r="H410" s="94"/>
      <c r="I410" s="41"/>
      <c r="J410" s="4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42"/>
      <c r="B411" s="93"/>
      <c r="C411" s="44"/>
      <c r="D411" s="44"/>
      <c r="E411" s="46"/>
      <c r="F411" s="93"/>
      <c r="G411" s="46"/>
      <c r="H411" s="94"/>
      <c r="I411" s="41"/>
      <c r="J411" s="4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42"/>
      <c r="B412" s="93"/>
      <c r="C412" s="44"/>
      <c r="D412" s="44"/>
      <c r="E412" s="46"/>
      <c r="F412" s="93"/>
      <c r="G412" s="46"/>
      <c r="H412" s="94"/>
      <c r="I412" s="41"/>
      <c r="J412" s="4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42"/>
      <c r="B413" s="93"/>
      <c r="C413" s="44"/>
      <c r="D413" s="44"/>
      <c r="E413" s="46"/>
      <c r="F413" s="93"/>
      <c r="G413" s="46"/>
      <c r="H413" s="94"/>
      <c r="I413" s="41"/>
      <c r="J413" s="4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42"/>
      <c r="B414" s="93"/>
      <c r="C414" s="44"/>
      <c r="D414" s="44"/>
      <c r="E414" s="46"/>
      <c r="F414" s="93"/>
      <c r="G414" s="46"/>
      <c r="H414" s="94"/>
      <c r="I414" s="41"/>
      <c r="J414" s="4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42"/>
      <c r="B415" s="93"/>
      <c r="C415" s="44"/>
      <c r="D415" s="44"/>
      <c r="E415" s="46"/>
      <c r="F415" s="93"/>
      <c r="G415" s="46"/>
      <c r="H415" s="94"/>
      <c r="I415" s="41"/>
      <c r="J415" s="4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42"/>
      <c r="B416" s="93"/>
      <c r="C416" s="44"/>
      <c r="D416" s="44"/>
      <c r="E416" s="46"/>
      <c r="F416" s="93"/>
      <c r="G416" s="46"/>
      <c r="H416" s="94"/>
      <c r="I416" s="41"/>
      <c r="J416" s="4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42"/>
      <c r="B417" s="93"/>
      <c r="C417" s="44"/>
      <c r="D417" s="44"/>
      <c r="E417" s="46"/>
      <c r="F417" s="93"/>
      <c r="G417" s="46"/>
      <c r="H417" s="94"/>
      <c r="I417" s="41"/>
      <c r="J417" s="4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42"/>
      <c r="B418" s="93"/>
      <c r="C418" s="44"/>
      <c r="D418" s="44"/>
      <c r="E418" s="46"/>
      <c r="F418" s="93"/>
      <c r="G418" s="46"/>
      <c r="H418" s="94"/>
      <c r="I418" s="41"/>
      <c r="J418" s="4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42"/>
      <c r="B419" s="93"/>
      <c r="C419" s="44"/>
      <c r="D419" s="44"/>
      <c r="E419" s="46"/>
      <c r="F419" s="93"/>
      <c r="G419" s="46"/>
      <c r="H419" s="94"/>
      <c r="I419" s="41"/>
      <c r="J419" s="4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42"/>
      <c r="B420" s="93"/>
      <c r="C420" s="44"/>
      <c r="D420" s="44"/>
      <c r="E420" s="46"/>
      <c r="F420" s="93"/>
      <c r="G420" s="46"/>
      <c r="H420" s="94"/>
      <c r="I420" s="41"/>
      <c r="J420" s="4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42"/>
      <c r="B421" s="93"/>
      <c r="C421" s="44"/>
      <c r="D421" s="44"/>
      <c r="E421" s="46"/>
      <c r="F421" s="93"/>
      <c r="G421" s="46"/>
      <c r="H421" s="94"/>
      <c r="I421" s="41"/>
      <c r="J421" s="4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42"/>
      <c r="B422" s="93"/>
      <c r="C422" s="44"/>
      <c r="D422" s="44"/>
      <c r="E422" s="46"/>
      <c r="F422" s="93"/>
      <c r="G422" s="46"/>
      <c r="H422" s="94"/>
      <c r="I422" s="41"/>
      <c r="J422" s="4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42"/>
      <c r="B423" s="93"/>
      <c r="C423" s="44"/>
      <c r="D423" s="44"/>
      <c r="E423" s="46"/>
      <c r="F423" s="93"/>
      <c r="G423" s="46"/>
      <c r="H423" s="94"/>
      <c r="I423" s="41"/>
      <c r="J423" s="4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42"/>
      <c r="B424" s="93"/>
      <c r="C424" s="44"/>
      <c r="D424" s="44"/>
      <c r="E424" s="46"/>
      <c r="F424" s="93"/>
      <c r="G424" s="46"/>
      <c r="H424" s="94"/>
      <c r="I424" s="41"/>
      <c r="J424" s="4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42"/>
      <c r="B425" s="93"/>
      <c r="C425" s="44"/>
      <c r="D425" s="44"/>
      <c r="E425" s="46"/>
      <c r="F425" s="93"/>
      <c r="G425" s="46"/>
      <c r="H425" s="94"/>
      <c r="I425" s="41"/>
      <c r="J425" s="4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42"/>
      <c r="B426" s="93"/>
      <c r="C426" s="44"/>
      <c r="D426" s="44"/>
      <c r="E426" s="46"/>
      <c r="F426" s="93"/>
      <c r="G426" s="46"/>
      <c r="H426" s="94"/>
      <c r="I426" s="41"/>
      <c r="J426" s="4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42"/>
      <c r="B427" s="93"/>
      <c r="C427" s="44"/>
      <c r="D427" s="44"/>
      <c r="E427" s="46"/>
      <c r="F427" s="93"/>
      <c r="G427" s="46"/>
      <c r="H427" s="94"/>
      <c r="I427" s="41"/>
      <c r="J427" s="4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42"/>
      <c r="B428" s="93"/>
      <c r="C428" s="44"/>
      <c r="D428" s="44"/>
      <c r="E428" s="46"/>
      <c r="F428" s="93"/>
      <c r="G428" s="46"/>
      <c r="H428" s="94"/>
      <c r="I428" s="41"/>
      <c r="J428" s="4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42"/>
      <c r="B429" s="93"/>
      <c r="C429" s="44"/>
      <c r="D429" s="44"/>
      <c r="E429" s="46"/>
      <c r="F429" s="93"/>
      <c r="G429" s="46"/>
      <c r="H429" s="94"/>
      <c r="I429" s="41"/>
      <c r="J429" s="4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42"/>
      <c r="B430" s="93"/>
      <c r="C430" s="44"/>
      <c r="D430" s="44"/>
      <c r="E430" s="46"/>
      <c r="F430" s="93"/>
      <c r="G430" s="46"/>
      <c r="H430" s="94"/>
      <c r="I430" s="41"/>
      <c r="J430" s="4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42"/>
      <c r="B431" s="93"/>
      <c r="C431" s="44"/>
      <c r="D431" s="44"/>
      <c r="E431" s="46"/>
      <c r="F431" s="93"/>
      <c r="G431" s="46"/>
      <c r="H431" s="94"/>
      <c r="I431" s="41"/>
      <c r="J431" s="4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42"/>
      <c r="B432" s="93"/>
      <c r="C432" s="44"/>
      <c r="D432" s="44"/>
      <c r="E432" s="46"/>
      <c r="F432" s="93"/>
      <c r="G432" s="46"/>
      <c r="H432" s="94"/>
      <c r="I432" s="41"/>
      <c r="J432" s="4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42"/>
      <c r="B433" s="93"/>
      <c r="C433" s="44"/>
      <c r="D433" s="44"/>
      <c r="E433" s="46"/>
      <c r="F433" s="93"/>
      <c r="G433" s="46"/>
      <c r="H433" s="94"/>
      <c r="I433" s="41"/>
      <c r="J433" s="4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42"/>
      <c r="B434" s="93"/>
      <c r="C434" s="44"/>
      <c r="D434" s="44"/>
      <c r="E434" s="46"/>
      <c r="F434" s="93"/>
      <c r="G434" s="46"/>
      <c r="H434" s="94"/>
      <c r="I434" s="41"/>
      <c r="J434" s="4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42"/>
      <c r="B435" s="93"/>
      <c r="C435" s="44"/>
      <c r="D435" s="44"/>
      <c r="E435" s="46"/>
      <c r="F435" s="93"/>
      <c r="G435" s="46"/>
      <c r="H435" s="94"/>
      <c r="I435" s="41"/>
      <c r="J435" s="4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42"/>
      <c r="B436" s="93"/>
      <c r="C436" s="44"/>
      <c r="D436" s="44"/>
      <c r="E436" s="46"/>
      <c r="F436" s="93"/>
      <c r="G436" s="46"/>
      <c r="H436" s="94"/>
      <c r="I436" s="41"/>
      <c r="J436" s="4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42"/>
      <c r="B437" s="93"/>
      <c r="C437" s="44"/>
      <c r="D437" s="44"/>
      <c r="E437" s="46"/>
      <c r="F437" s="93"/>
      <c r="G437" s="46"/>
      <c r="H437" s="94"/>
      <c r="I437" s="41"/>
      <c r="J437" s="4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42"/>
      <c r="B438" s="93"/>
      <c r="C438" s="44"/>
      <c r="D438" s="44"/>
      <c r="E438" s="46"/>
      <c r="F438" s="93"/>
      <c r="G438" s="46"/>
      <c r="H438" s="94"/>
      <c r="I438" s="41"/>
      <c r="J438" s="4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42"/>
      <c r="B439" s="93"/>
      <c r="C439" s="44"/>
      <c r="D439" s="44"/>
      <c r="E439" s="46"/>
      <c r="F439" s="93"/>
      <c r="G439" s="46"/>
      <c r="H439" s="94"/>
      <c r="I439" s="41"/>
      <c r="J439" s="4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42"/>
      <c r="B440" s="93"/>
      <c r="C440" s="44"/>
      <c r="D440" s="44"/>
      <c r="E440" s="46"/>
      <c r="F440" s="93"/>
      <c r="G440" s="46"/>
      <c r="H440" s="94"/>
      <c r="I440" s="41"/>
      <c r="J440" s="4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42"/>
      <c r="B441" s="93"/>
      <c r="C441" s="44"/>
      <c r="D441" s="44"/>
      <c r="E441" s="46"/>
      <c r="F441" s="93"/>
      <c r="G441" s="46"/>
      <c r="H441" s="94"/>
      <c r="I441" s="41"/>
      <c r="J441" s="4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42"/>
      <c r="B442" s="93"/>
      <c r="C442" s="44"/>
      <c r="D442" s="44"/>
      <c r="E442" s="46"/>
      <c r="F442" s="93"/>
      <c r="G442" s="46"/>
      <c r="H442" s="94"/>
      <c r="I442" s="41"/>
      <c r="J442" s="4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42"/>
      <c r="B443" s="93"/>
      <c r="C443" s="44"/>
      <c r="D443" s="44"/>
      <c r="E443" s="46"/>
      <c r="F443" s="93"/>
      <c r="G443" s="46"/>
      <c r="H443" s="94"/>
      <c r="I443" s="41"/>
      <c r="J443" s="4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42"/>
      <c r="B444" s="93"/>
      <c r="C444" s="44"/>
      <c r="D444" s="44"/>
      <c r="E444" s="46"/>
      <c r="F444" s="93"/>
      <c r="G444" s="46"/>
      <c r="H444" s="94"/>
      <c r="I444" s="41"/>
      <c r="J444" s="4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42"/>
      <c r="B445" s="93"/>
      <c r="C445" s="44"/>
      <c r="D445" s="44"/>
      <c r="E445" s="46"/>
      <c r="F445" s="93"/>
      <c r="G445" s="46"/>
      <c r="H445" s="94"/>
      <c r="I445" s="41"/>
      <c r="J445" s="4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42"/>
      <c r="B446" s="93"/>
      <c r="C446" s="44"/>
      <c r="D446" s="44"/>
      <c r="E446" s="46"/>
      <c r="F446" s="93"/>
      <c r="G446" s="46"/>
      <c r="H446" s="94"/>
      <c r="I446" s="41"/>
      <c r="J446" s="4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42"/>
      <c r="B447" s="93"/>
      <c r="C447" s="44"/>
      <c r="D447" s="44"/>
      <c r="E447" s="46"/>
      <c r="F447" s="93"/>
      <c r="G447" s="46"/>
      <c r="H447" s="94"/>
      <c r="I447" s="41"/>
      <c r="J447" s="4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42"/>
      <c r="B448" s="93"/>
      <c r="C448" s="44"/>
      <c r="D448" s="44"/>
      <c r="E448" s="46"/>
      <c r="F448" s="93"/>
      <c r="G448" s="46"/>
      <c r="H448" s="94"/>
      <c r="I448" s="41"/>
      <c r="J448" s="4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42"/>
      <c r="B449" s="93"/>
      <c r="C449" s="44"/>
      <c r="D449" s="44"/>
      <c r="E449" s="46"/>
      <c r="F449" s="93"/>
      <c r="G449" s="46"/>
      <c r="H449" s="94"/>
      <c r="I449" s="41"/>
      <c r="J449" s="4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42"/>
      <c r="B450" s="93"/>
      <c r="C450" s="44"/>
      <c r="D450" s="44"/>
      <c r="E450" s="46"/>
      <c r="F450" s="93"/>
      <c r="G450" s="46"/>
      <c r="H450" s="94"/>
      <c r="I450" s="41"/>
      <c r="J450" s="4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42"/>
      <c r="B451" s="93"/>
      <c r="C451" s="44"/>
      <c r="D451" s="44"/>
      <c r="E451" s="46"/>
      <c r="F451" s="93"/>
      <c r="G451" s="46"/>
      <c r="H451" s="94"/>
      <c r="I451" s="41"/>
      <c r="J451" s="4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42"/>
      <c r="B452" s="93"/>
      <c r="C452" s="44"/>
      <c r="D452" s="44"/>
      <c r="E452" s="46"/>
      <c r="F452" s="93"/>
      <c r="G452" s="46"/>
      <c r="H452" s="94"/>
      <c r="I452" s="41"/>
      <c r="J452" s="4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42"/>
      <c r="B453" s="93"/>
      <c r="C453" s="44"/>
      <c r="D453" s="44"/>
      <c r="E453" s="46"/>
      <c r="F453" s="93"/>
      <c r="G453" s="46"/>
      <c r="H453" s="94"/>
      <c r="I453" s="41"/>
      <c r="J453" s="4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42"/>
      <c r="B454" s="93"/>
      <c r="C454" s="44"/>
      <c r="D454" s="44"/>
      <c r="E454" s="46"/>
      <c r="F454" s="93"/>
      <c r="G454" s="46"/>
      <c r="H454" s="94"/>
      <c r="I454" s="41"/>
      <c r="J454" s="4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42"/>
      <c r="B455" s="93"/>
      <c r="C455" s="44"/>
      <c r="D455" s="44"/>
      <c r="E455" s="46"/>
      <c r="F455" s="93"/>
      <c r="G455" s="46"/>
      <c r="H455" s="94"/>
      <c r="I455" s="41"/>
      <c r="J455" s="4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42"/>
      <c r="B456" s="93"/>
      <c r="C456" s="44"/>
      <c r="D456" s="44"/>
      <c r="E456" s="46"/>
      <c r="F456" s="93"/>
      <c r="G456" s="46"/>
      <c r="H456" s="94"/>
      <c r="I456" s="41"/>
      <c r="J456" s="4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42"/>
      <c r="B457" s="93"/>
      <c r="C457" s="44"/>
      <c r="D457" s="44"/>
      <c r="E457" s="46"/>
      <c r="F457" s="93"/>
      <c r="G457" s="46"/>
      <c r="H457" s="94"/>
      <c r="I457" s="41"/>
      <c r="J457" s="4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42"/>
      <c r="B458" s="93"/>
      <c r="C458" s="44"/>
      <c r="D458" s="44"/>
      <c r="E458" s="46"/>
      <c r="F458" s="93"/>
      <c r="G458" s="46"/>
      <c r="H458" s="94"/>
      <c r="I458" s="41"/>
      <c r="J458" s="4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42"/>
      <c r="B459" s="93"/>
      <c r="C459" s="44"/>
      <c r="D459" s="44"/>
      <c r="E459" s="46"/>
      <c r="F459" s="93"/>
      <c r="G459" s="46"/>
      <c r="H459" s="94"/>
      <c r="I459" s="41"/>
      <c r="J459" s="4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42"/>
      <c r="B460" s="93"/>
      <c r="C460" s="44"/>
      <c r="D460" s="44"/>
      <c r="E460" s="46"/>
      <c r="F460" s="93"/>
      <c r="G460" s="46"/>
      <c r="H460" s="94"/>
      <c r="I460" s="41"/>
      <c r="J460" s="4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42"/>
      <c r="B461" s="93"/>
      <c r="C461" s="44"/>
      <c r="D461" s="44"/>
      <c r="E461" s="46"/>
      <c r="F461" s="93"/>
      <c r="G461" s="46"/>
      <c r="H461" s="94"/>
      <c r="I461" s="41"/>
      <c r="J461" s="4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42"/>
      <c r="B462" s="93"/>
      <c r="C462" s="44"/>
      <c r="D462" s="44"/>
      <c r="E462" s="46"/>
      <c r="F462" s="93"/>
      <c r="G462" s="46"/>
      <c r="H462" s="94"/>
      <c r="I462" s="41"/>
      <c r="J462" s="4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42"/>
      <c r="B463" s="93"/>
      <c r="C463" s="44"/>
      <c r="D463" s="44"/>
      <c r="E463" s="46"/>
      <c r="F463" s="93"/>
      <c r="G463" s="46"/>
      <c r="H463" s="94"/>
      <c r="I463" s="41"/>
      <c r="J463" s="4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42"/>
      <c r="B464" s="93"/>
      <c r="C464" s="44"/>
      <c r="D464" s="44"/>
      <c r="E464" s="46"/>
      <c r="F464" s="93"/>
      <c r="G464" s="46"/>
      <c r="H464" s="94"/>
      <c r="I464" s="41"/>
      <c r="J464" s="4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42"/>
      <c r="B465" s="93"/>
      <c r="C465" s="44"/>
      <c r="D465" s="44"/>
      <c r="E465" s="46"/>
      <c r="F465" s="93"/>
      <c r="G465" s="46"/>
      <c r="H465" s="94"/>
      <c r="I465" s="41"/>
      <c r="J465" s="4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42"/>
      <c r="B466" s="93"/>
      <c r="C466" s="44"/>
      <c r="D466" s="44"/>
      <c r="E466" s="46"/>
      <c r="F466" s="93"/>
      <c r="G466" s="46"/>
      <c r="H466" s="94"/>
      <c r="I466" s="41"/>
      <c r="J466" s="4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42"/>
      <c r="B467" s="93"/>
      <c r="C467" s="44"/>
      <c r="D467" s="44"/>
      <c r="E467" s="46"/>
      <c r="F467" s="93"/>
      <c r="G467" s="46"/>
      <c r="H467" s="94"/>
      <c r="I467" s="41"/>
      <c r="J467" s="4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42"/>
      <c r="B468" s="93"/>
      <c r="C468" s="44"/>
      <c r="D468" s="44"/>
      <c r="E468" s="46"/>
      <c r="F468" s="93"/>
      <c r="G468" s="46"/>
      <c r="H468" s="94"/>
      <c r="I468" s="41"/>
      <c r="J468" s="4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42"/>
      <c r="B469" s="93"/>
      <c r="C469" s="44"/>
      <c r="D469" s="44"/>
      <c r="E469" s="46"/>
      <c r="F469" s="93"/>
      <c r="G469" s="46"/>
      <c r="H469" s="94"/>
      <c r="I469" s="41"/>
      <c r="J469" s="4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42"/>
      <c r="B470" s="93"/>
      <c r="C470" s="44"/>
      <c r="D470" s="44"/>
      <c r="E470" s="46"/>
      <c r="F470" s="93"/>
      <c r="G470" s="46"/>
      <c r="H470" s="94"/>
      <c r="I470" s="41"/>
      <c r="J470" s="4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42"/>
      <c r="B471" s="93"/>
      <c r="C471" s="44"/>
      <c r="D471" s="44"/>
      <c r="E471" s="46"/>
      <c r="F471" s="93"/>
      <c r="G471" s="46"/>
      <c r="H471" s="94"/>
      <c r="I471" s="41"/>
      <c r="J471" s="4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42"/>
      <c r="B472" s="93"/>
      <c r="C472" s="44"/>
      <c r="D472" s="44"/>
      <c r="E472" s="46"/>
      <c r="F472" s="93"/>
      <c r="G472" s="46"/>
      <c r="H472" s="94"/>
      <c r="I472" s="41"/>
      <c r="J472" s="4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42"/>
      <c r="B473" s="93"/>
      <c r="C473" s="44"/>
      <c r="D473" s="44"/>
      <c r="E473" s="46"/>
      <c r="F473" s="93"/>
      <c r="G473" s="46"/>
      <c r="H473" s="94"/>
      <c r="I473" s="41"/>
      <c r="J473" s="4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42"/>
      <c r="B474" s="93"/>
      <c r="C474" s="44"/>
      <c r="D474" s="44"/>
      <c r="E474" s="46"/>
      <c r="F474" s="93"/>
      <c r="G474" s="46"/>
      <c r="H474" s="94"/>
      <c r="I474" s="41"/>
      <c r="J474" s="4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42"/>
      <c r="B475" s="93"/>
      <c r="C475" s="44"/>
      <c r="D475" s="44"/>
      <c r="E475" s="46"/>
      <c r="F475" s="93"/>
      <c r="G475" s="46"/>
      <c r="H475" s="94"/>
      <c r="I475" s="41"/>
      <c r="J475" s="4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42"/>
      <c r="B476" s="93"/>
      <c r="C476" s="44"/>
      <c r="D476" s="44"/>
      <c r="E476" s="46"/>
      <c r="F476" s="93"/>
      <c r="G476" s="46"/>
      <c r="H476" s="94"/>
      <c r="I476" s="41"/>
      <c r="J476" s="4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42"/>
      <c r="B477" s="93"/>
      <c r="C477" s="44"/>
      <c r="D477" s="44"/>
      <c r="E477" s="46"/>
      <c r="F477" s="93"/>
      <c r="G477" s="46"/>
      <c r="H477" s="94"/>
      <c r="I477" s="41"/>
      <c r="J477" s="4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42"/>
      <c r="B478" s="93"/>
      <c r="C478" s="44"/>
      <c r="D478" s="44"/>
      <c r="E478" s="46"/>
      <c r="F478" s="93"/>
      <c r="G478" s="46"/>
      <c r="H478" s="94"/>
      <c r="I478" s="41"/>
      <c r="J478" s="4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42"/>
      <c r="B479" s="93"/>
      <c r="C479" s="44"/>
      <c r="D479" s="44"/>
      <c r="E479" s="46"/>
      <c r="F479" s="93"/>
      <c r="G479" s="46"/>
      <c r="H479" s="94"/>
      <c r="I479" s="41"/>
      <c r="J479" s="4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42"/>
      <c r="B480" s="93"/>
      <c r="C480" s="44"/>
      <c r="D480" s="44"/>
      <c r="E480" s="46"/>
      <c r="F480" s="93"/>
      <c r="G480" s="46"/>
      <c r="H480" s="94"/>
      <c r="I480" s="41"/>
      <c r="J480" s="4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42"/>
      <c r="B481" s="93"/>
      <c r="C481" s="44"/>
      <c r="D481" s="44"/>
      <c r="E481" s="46"/>
      <c r="F481" s="93"/>
      <c r="G481" s="46"/>
      <c r="H481" s="94"/>
      <c r="I481" s="41"/>
      <c r="J481" s="4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42"/>
      <c r="B482" s="93"/>
      <c r="C482" s="44"/>
      <c r="D482" s="44"/>
      <c r="E482" s="46"/>
      <c r="F482" s="93"/>
      <c r="G482" s="46"/>
      <c r="H482" s="94"/>
      <c r="I482" s="41"/>
      <c r="J482" s="4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42"/>
      <c r="B483" s="93"/>
      <c r="C483" s="44"/>
      <c r="D483" s="44"/>
      <c r="E483" s="46"/>
      <c r="F483" s="93"/>
      <c r="G483" s="46"/>
      <c r="H483" s="94"/>
      <c r="I483" s="41"/>
      <c r="J483" s="4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42"/>
      <c r="B484" s="93"/>
      <c r="C484" s="44"/>
      <c r="D484" s="44"/>
      <c r="E484" s="46"/>
      <c r="F484" s="93"/>
      <c r="G484" s="46"/>
      <c r="H484" s="94"/>
      <c r="I484" s="41"/>
      <c r="J484" s="4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42"/>
      <c r="B485" s="93"/>
      <c r="C485" s="44"/>
      <c r="D485" s="44"/>
      <c r="E485" s="46"/>
      <c r="F485" s="93"/>
      <c r="G485" s="46"/>
      <c r="H485" s="94"/>
      <c r="I485" s="41"/>
      <c r="J485" s="4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42"/>
      <c r="B486" s="93"/>
      <c r="C486" s="44"/>
      <c r="D486" s="44"/>
      <c r="E486" s="46"/>
      <c r="F486" s="93"/>
      <c r="G486" s="46"/>
      <c r="H486" s="94"/>
      <c r="I486" s="41"/>
      <c r="J486" s="4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42"/>
      <c r="B487" s="93"/>
      <c r="C487" s="44"/>
      <c r="D487" s="44"/>
      <c r="E487" s="46"/>
      <c r="F487" s="93"/>
      <c r="G487" s="46"/>
      <c r="H487" s="94"/>
      <c r="I487" s="41"/>
      <c r="J487" s="4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42"/>
      <c r="B488" s="93"/>
      <c r="C488" s="44"/>
      <c r="D488" s="44"/>
      <c r="E488" s="46"/>
      <c r="F488" s="93"/>
      <c r="G488" s="46"/>
      <c r="H488" s="94"/>
      <c r="I488" s="41"/>
      <c r="J488" s="4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42"/>
      <c r="B489" s="93"/>
      <c r="C489" s="44"/>
      <c r="D489" s="44"/>
      <c r="E489" s="46"/>
      <c r="F489" s="93"/>
      <c r="G489" s="46"/>
      <c r="H489" s="94"/>
      <c r="I489" s="41"/>
      <c r="J489" s="4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42"/>
      <c r="B490" s="93"/>
      <c r="C490" s="44"/>
      <c r="D490" s="44"/>
      <c r="E490" s="46"/>
      <c r="F490" s="93"/>
      <c r="G490" s="46"/>
      <c r="H490" s="94"/>
      <c r="I490" s="41"/>
      <c r="J490" s="4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42"/>
      <c r="B491" s="93"/>
      <c r="C491" s="44"/>
      <c r="D491" s="44"/>
      <c r="E491" s="46"/>
      <c r="F491" s="93"/>
      <c r="G491" s="46"/>
      <c r="H491" s="94"/>
      <c r="I491" s="41"/>
      <c r="J491" s="4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42"/>
      <c r="B492" s="93"/>
      <c r="C492" s="44"/>
      <c r="D492" s="44"/>
      <c r="E492" s="46"/>
      <c r="F492" s="93"/>
      <c r="G492" s="46"/>
      <c r="H492" s="94"/>
      <c r="I492" s="41"/>
      <c r="J492" s="4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42"/>
      <c r="B493" s="93"/>
      <c r="C493" s="44"/>
      <c r="D493" s="44"/>
      <c r="E493" s="46"/>
      <c r="F493" s="93"/>
      <c r="G493" s="46"/>
      <c r="H493" s="94"/>
      <c r="I493" s="41"/>
      <c r="J493" s="4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42"/>
      <c r="B494" s="93"/>
      <c r="C494" s="44"/>
      <c r="D494" s="44"/>
      <c r="E494" s="46"/>
      <c r="F494" s="93"/>
      <c r="G494" s="46"/>
      <c r="H494" s="94"/>
      <c r="I494" s="41"/>
      <c r="J494" s="4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42"/>
      <c r="B495" s="93"/>
      <c r="C495" s="44"/>
      <c r="D495" s="44"/>
      <c r="E495" s="46"/>
      <c r="F495" s="93"/>
      <c r="G495" s="46"/>
      <c r="H495" s="94"/>
      <c r="I495" s="41"/>
      <c r="J495" s="4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42"/>
      <c r="B496" s="93"/>
      <c r="C496" s="44"/>
      <c r="D496" s="44"/>
      <c r="E496" s="46"/>
      <c r="F496" s="93"/>
      <c r="G496" s="46"/>
      <c r="H496" s="94"/>
      <c r="I496" s="41"/>
      <c r="J496" s="4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42"/>
      <c r="B497" s="93"/>
      <c r="C497" s="44"/>
      <c r="D497" s="44"/>
      <c r="E497" s="46"/>
      <c r="F497" s="93"/>
      <c r="G497" s="46"/>
      <c r="H497" s="94"/>
      <c r="I497" s="41"/>
      <c r="J497" s="4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42"/>
      <c r="B498" s="93"/>
      <c r="C498" s="44"/>
      <c r="D498" s="44"/>
      <c r="E498" s="46"/>
      <c r="F498" s="93"/>
      <c r="G498" s="46"/>
      <c r="H498" s="94"/>
      <c r="I498" s="41"/>
      <c r="J498" s="4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42"/>
      <c r="B499" s="93"/>
      <c r="C499" s="44"/>
      <c r="D499" s="44"/>
      <c r="E499" s="46"/>
      <c r="F499" s="93"/>
      <c r="G499" s="46"/>
      <c r="H499" s="94"/>
      <c r="I499" s="41"/>
      <c r="J499" s="4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42"/>
      <c r="B500" s="93"/>
      <c r="C500" s="44"/>
      <c r="D500" s="44"/>
      <c r="E500" s="46"/>
      <c r="F500" s="93"/>
      <c r="G500" s="46"/>
      <c r="H500" s="94"/>
      <c r="I500" s="41"/>
      <c r="J500" s="4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42"/>
      <c r="B501" s="93"/>
      <c r="C501" s="44"/>
      <c r="D501" s="44"/>
      <c r="E501" s="46"/>
      <c r="F501" s="93"/>
      <c r="G501" s="46"/>
      <c r="H501" s="94"/>
      <c r="I501" s="41"/>
      <c r="J501" s="4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42"/>
      <c r="B502" s="93"/>
      <c r="C502" s="44"/>
      <c r="D502" s="44"/>
      <c r="E502" s="46"/>
      <c r="F502" s="93"/>
      <c r="G502" s="46"/>
      <c r="H502" s="94"/>
      <c r="I502" s="41"/>
      <c r="J502" s="4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42"/>
      <c r="B503" s="93"/>
      <c r="C503" s="44"/>
      <c r="D503" s="44"/>
      <c r="E503" s="46"/>
      <c r="F503" s="93"/>
      <c r="G503" s="46"/>
      <c r="H503" s="94"/>
      <c r="I503" s="41"/>
      <c r="J503" s="4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42"/>
      <c r="B504" s="93"/>
      <c r="C504" s="44"/>
      <c r="D504" s="44"/>
      <c r="E504" s="46"/>
      <c r="F504" s="93"/>
      <c r="G504" s="46"/>
      <c r="H504" s="94"/>
      <c r="I504" s="41"/>
      <c r="J504" s="4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42"/>
      <c r="B505" s="93"/>
      <c r="C505" s="44"/>
      <c r="D505" s="44"/>
      <c r="E505" s="46"/>
      <c r="F505" s="93"/>
      <c r="G505" s="46"/>
      <c r="H505" s="94"/>
      <c r="I505" s="41"/>
      <c r="J505" s="4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42"/>
      <c r="B506" s="93"/>
      <c r="C506" s="44"/>
      <c r="D506" s="44"/>
      <c r="E506" s="46"/>
      <c r="F506" s="93"/>
      <c r="G506" s="46"/>
      <c r="H506" s="94"/>
      <c r="I506" s="41"/>
      <c r="J506" s="4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42"/>
      <c r="B507" s="93"/>
      <c r="C507" s="44"/>
      <c r="D507" s="44"/>
      <c r="E507" s="46"/>
      <c r="F507" s="93"/>
      <c r="G507" s="46"/>
      <c r="H507" s="94"/>
      <c r="I507" s="41"/>
      <c r="J507" s="4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42"/>
      <c r="B508" s="93"/>
      <c r="C508" s="44"/>
      <c r="D508" s="44"/>
      <c r="E508" s="46"/>
      <c r="F508" s="93"/>
      <c r="G508" s="46"/>
      <c r="H508" s="94"/>
      <c r="I508" s="41"/>
      <c r="J508" s="4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42"/>
      <c r="B509" s="93"/>
      <c r="C509" s="44"/>
      <c r="D509" s="44"/>
      <c r="E509" s="46"/>
      <c r="F509" s="93"/>
      <c r="G509" s="46"/>
      <c r="H509" s="94"/>
      <c r="I509" s="41"/>
      <c r="J509" s="4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42"/>
      <c r="B510" s="93"/>
      <c r="C510" s="44"/>
      <c r="D510" s="44"/>
      <c r="E510" s="46"/>
      <c r="F510" s="93"/>
      <c r="G510" s="46"/>
      <c r="H510" s="94"/>
      <c r="I510" s="41"/>
      <c r="J510" s="4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42"/>
      <c r="B511" s="93"/>
      <c r="C511" s="44"/>
      <c r="D511" s="44"/>
      <c r="E511" s="46"/>
      <c r="F511" s="93"/>
      <c r="G511" s="46"/>
      <c r="H511" s="94"/>
      <c r="I511" s="41"/>
      <c r="J511" s="4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42"/>
      <c r="B512" s="93"/>
      <c r="C512" s="44"/>
      <c r="D512" s="44"/>
      <c r="E512" s="46"/>
      <c r="F512" s="93"/>
      <c r="G512" s="46"/>
      <c r="H512" s="94"/>
      <c r="I512" s="41"/>
      <c r="J512" s="4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42"/>
      <c r="B513" s="93"/>
      <c r="C513" s="44"/>
      <c r="D513" s="44"/>
      <c r="E513" s="46"/>
      <c r="F513" s="93"/>
      <c r="G513" s="46"/>
      <c r="H513" s="94"/>
      <c r="I513" s="41"/>
      <c r="J513" s="4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42"/>
      <c r="B514" s="93"/>
      <c r="C514" s="44"/>
      <c r="D514" s="44"/>
      <c r="E514" s="46"/>
      <c r="F514" s="93"/>
      <c r="G514" s="46"/>
      <c r="H514" s="94"/>
      <c r="I514" s="41"/>
      <c r="J514" s="4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42"/>
      <c r="B515" s="93"/>
      <c r="C515" s="44"/>
      <c r="D515" s="44"/>
      <c r="E515" s="46"/>
      <c r="F515" s="93"/>
      <c r="G515" s="46"/>
      <c r="H515" s="94"/>
      <c r="I515" s="41"/>
      <c r="J515" s="4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42"/>
      <c r="B516" s="93"/>
      <c r="C516" s="44"/>
      <c r="D516" s="44"/>
      <c r="E516" s="46"/>
      <c r="F516" s="93"/>
      <c r="G516" s="46"/>
      <c r="H516" s="94"/>
      <c r="I516" s="41"/>
      <c r="J516" s="4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42"/>
      <c r="B517" s="93"/>
      <c r="C517" s="44"/>
      <c r="D517" s="44"/>
      <c r="E517" s="46"/>
      <c r="F517" s="93"/>
      <c r="G517" s="46"/>
      <c r="H517" s="94"/>
      <c r="I517" s="41"/>
      <c r="J517" s="4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42"/>
      <c r="B518" s="93"/>
      <c r="C518" s="44"/>
      <c r="D518" s="44"/>
      <c r="E518" s="46"/>
      <c r="F518" s="93"/>
      <c r="G518" s="46"/>
      <c r="H518" s="94"/>
      <c r="I518" s="41"/>
      <c r="J518" s="4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42"/>
      <c r="B519" s="93"/>
      <c r="C519" s="44"/>
      <c r="D519" s="44"/>
      <c r="E519" s="46"/>
      <c r="F519" s="93"/>
      <c r="G519" s="46"/>
      <c r="H519" s="94"/>
      <c r="I519" s="41"/>
      <c r="J519" s="4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42"/>
      <c r="B520" s="93"/>
      <c r="C520" s="44"/>
      <c r="D520" s="44"/>
      <c r="E520" s="46"/>
      <c r="F520" s="93"/>
      <c r="G520" s="46"/>
      <c r="H520" s="94"/>
      <c r="I520" s="41"/>
      <c r="J520" s="4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42"/>
      <c r="B521" s="93"/>
      <c r="C521" s="44"/>
      <c r="D521" s="44"/>
      <c r="E521" s="46"/>
      <c r="F521" s="93"/>
      <c r="G521" s="46"/>
      <c r="H521" s="94"/>
      <c r="I521" s="41"/>
      <c r="J521" s="4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42"/>
      <c r="B522" s="93"/>
      <c r="C522" s="44"/>
      <c r="D522" s="44"/>
      <c r="E522" s="46"/>
      <c r="F522" s="93"/>
      <c r="G522" s="46"/>
      <c r="H522" s="94"/>
      <c r="I522" s="41"/>
      <c r="J522" s="4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42"/>
      <c r="B523" s="93"/>
      <c r="C523" s="44"/>
      <c r="D523" s="44"/>
      <c r="E523" s="46"/>
      <c r="F523" s="93"/>
      <c r="G523" s="46"/>
      <c r="H523" s="94"/>
      <c r="I523" s="41"/>
      <c r="J523" s="4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42"/>
      <c r="B524" s="93"/>
      <c r="C524" s="44"/>
      <c r="D524" s="44"/>
      <c r="E524" s="46"/>
      <c r="F524" s="93"/>
      <c r="G524" s="46"/>
      <c r="H524" s="94"/>
      <c r="I524" s="41"/>
      <c r="J524" s="4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42"/>
      <c r="B525" s="93"/>
      <c r="C525" s="44"/>
      <c r="D525" s="44"/>
      <c r="E525" s="46"/>
      <c r="F525" s="93"/>
      <c r="G525" s="46"/>
      <c r="H525" s="94"/>
      <c r="I525" s="41"/>
      <c r="J525" s="4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42"/>
      <c r="B526" s="93"/>
      <c r="C526" s="44"/>
      <c r="D526" s="44"/>
      <c r="E526" s="46"/>
      <c r="F526" s="93"/>
      <c r="G526" s="46"/>
      <c r="H526" s="94"/>
      <c r="I526" s="41"/>
      <c r="J526" s="4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42"/>
      <c r="B527" s="93"/>
      <c r="C527" s="44"/>
      <c r="D527" s="44"/>
      <c r="E527" s="46"/>
      <c r="F527" s="93"/>
      <c r="G527" s="46"/>
      <c r="H527" s="94"/>
      <c r="I527" s="41"/>
      <c r="J527" s="4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42"/>
      <c r="B528" s="93"/>
      <c r="C528" s="44"/>
      <c r="D528" s="44"/>
      <c r="E528" s="46"/>
      <c r="F528" s="93"/>
      <c r="G528" s="46"/>
      <c r="H528" s="94"/>
      <c r="I528" s="41"/>
      <c r="J528" s="4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42"/>
      <c r="B529" s="93"/>
      <c r="C529" s="44"/>
      <c r="D529" s="44"/>
      <c r="E529" s="46"/>
      <c r="F529" s="93"/>
      <c r="G529" s="46"/>
      <c r="H529" s="94"/>
      <c r="I529" s="41"/>
      <c r="J529" s="4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42"/>
      <c r="B530" s="93"/>
      <c r="C530" s="44"/>
      <c r="D530" s="44"/>
      <c r="E530" s="46"/>
      <c r="F530" s="93"/>
      <c r="G530" s="46"/>
      <c r="H530" s="94"/>
      <c r="I530" s="41"/>
      <c r="J530" s="4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42"/>
      <c r="B531" s="93"/>
      <c r="C531" s="44"/>
      <c r="D531" s="44"/>
      <c r="E531" s="46"/>
      <c r="F531" s="93"/>
      <c r="G531" s="46"/>
      <c r="H531" s="94"/>
      <c r="I531" s="41"/>
      <c r="J531" s="4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42"/>
      <c r="B532" s="93"/>
      <c r="C532" s="44"/>
      <c r="D532" s="44"/>
      <c r="E532" s="46"/>
      <c r="F532" s="93"/>
      <c r="G532" s="46"/>
      <c r="H532" s="94"/>
      <c r="I532" s="41"/>
      <c r="J532" s="4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42"/>
      <c r="B533" s="93"/>
      <c r="C533" s="44"/>
      <c r="D533" s="44"/>
      <c r="E533" s="46"/>
      <c r="F533" s="93"/>
      <c r="G533" s="46"/>
      <c r="H533" s="94"/>
      <c r="I533" s="41"/>
      <c r="J533" s="4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42"/>
      <c r="B534" s="93"/>
      <c r="C534" s="44"/>
      <c r="D534" s="44"/>
      <c r="E534" s="46"/>
      <c r="F534" s="93"/>
      <c r="G534" s="46"/>
      <c r="H534" s="94"/>
      <c r="I534" s="41"/>
      <c r="J534" s="4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42"/>
      <c r="B535" s="93"/>
      <c r="C535" s="44"/>
      <c r="D535" s="44"/>
      <c r="E535" s="46"/>
      <c r="F535" s="93"/>
      <c r="G535" s="46"/>
      <c r="H535" s="94"/>
      <c r="I535" s="41"/>
      <c r="J535" s="4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42"/>
      <c r="B536" s="93"/>
      <c r="C536" s="44"/>
      <c r="D536" s="44"/>
      <c r="E536" s="46"/>
      <c r="F536" s="93"/>
      <c r="G536" s="46"/>
      <c r="H536" s="94"/>
      <c r="I536" s="41"/>
      <c r="J536" s="4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42"/>
      <c r="B537" s="93"/>
      <c r="C537" s="44"/>
      <c r="D537" s="44"/>
      <c r="E537" s="46"/>
      <c r="F537" s="93"/>
      <c r="G537" s="46"/>
      <c r="H537" s="94"/>
      <c r="I537" s="41"/>
      <c r="J537" s="4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42"/>
      <c r="B538" s="93"/>
      <c r="C538" s="44"/>
      <c r="D538" s="44"/>
      <c r="E538" s="46"/>
      <c r="F538" s="93"/>
      <c r="G538" s="46"/>
      <c r="H538" s="94"/>
      <c r="I538" s="41"/>
      <c r="J538" s="4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42"/>
      <c r="B539" s="93"/>
      <c r="C539" s="44"/>
      <c r="D539" s="44"/>
      <c r="E539" s="46"/>
      <c r="F539" s="93"/>
      <c r="G539" s="46"/>
      <c r="H539" s="94"/>
      <c r="I539" s="41"/>
      <c r="J539" s="4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42"/>
      <c r="B540" s="93"/>
      <c r="C540" s="44"/>
      <c r="D540" s="44"/>
      <c r="E540" s="46"/>
      <c r="F540" s="93"/>
      <c r="G540" s="46"/>
      <c r="H540" s="94"/>
      <c r="I540" s="41"/>
      <c r="J540" s="4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42"/>
      <c r="B541" s="93"/>
      <c r="C541" s="44"/>
      <c r="D541" s="44"/>
      <c r="E541" s="46"/>
      <c r="F541" s="93"/>
      <c r="G541" s="46"/>
      <c r="H541" s="94"/>
      <c r="I541" s="41"/>
      <c r="J541" s="4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42"/>
      <c r="B542" s="93"/>
      <c r="C542" s="44"/>
      <c r="D542" s="44"/>
      <c r="E542" s="46"/>
      <c r="F542" s="93"/>
      <c r="G542" s="46"/>
      <c r="H542" s="94"/>
      <c r="I542" s="41"/>
      <c r="J542" s="4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42"/>
      <c r="B543" s="93"/>
      <c r="C543" s="44"/>
      <c r="D543" s="44"/>
      <c r="E543" s="46"/>
      <c r="F543" s="93"/>
      <c r="G543" s="46"/>
      <c r="H543" s="94"/>
      <c r="I543" s="41"/>
      <c r="J543" s="4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42"/>
      <c r="B544" s="93"/>
      <c r="C544" s="44"/>
      <c r="D544" s="44"/>
      <c r="E544" s="46"/>
      <c r="F544" s="93"/>
      <c r="G544" s="46"/>
      <c r="H544" s="94"/>
      <c r="I544" s="41"/>
      <c r="J544" s="4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42"/>
      <c r="B545" s="182"/>
      <c r="C545" s="182"/>
      <c r="D545" s="182"/>
      <c r="E545" s="182"/>
      <c r="F545" s="182"/>
      <c r="G545" s="182"/>
      <c r="H545" s="182"/>
      <c r="I545" s="3"/>
      <c r="J545" s="4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42"/>
      <c r="B546" s="182"/>
      <c r="C546" s="182"/>
      <c r="D546" s="182"/>
      <c r="E546" s="182"/>
      <c r="F546" s="182"/>
      <c r="G546" s="182"/>
      <c r="H546" s="182"/>
      <c r="I546" s="3"/>
      <c r="J546" s="4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42"/>
      <c r="B547" s="182"/>
      <c r="C547" s="182"/>
      <c r="D547" s="182"/>
      <c r="E547" s="182"/>
      <c r="F547" s="182"/>
      <c r="G547" s="182"/>
      <c r="H547" s="182"/>
      <c r="I547" s="3"/>
      <c r="J547" s="4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42"/>
      <c r="B548" s="182"/>
      <c r="C548" s="182"/>
      <c r="D548" s="182"/>
      <c r="E548" s="182"/>
      <c r="F548" s="182"/>
      <c r="G548" s="182"/>
      <c r="H548" s="182"/>
      <c r="I548" s="3"/>
      <c r="J548" s="4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42"/>
      <c r="B549" s="182"/>
      <c r="C549" s="182"/>
      <c r="D549" s="182"/>
      <c r="E549" s="182"/>
      <c r="F549" s="182"/>
      <c r="G549" s="182"/>
      <c r="H549" s="182"/>
      <c r="I549" s="3"/>
      <c r="J549" s="4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42"/>
      <c r="B550" s="182"/>
      <c r="C550" s="182"/>
      <c r="D550" s="182"/>
      <c r="E550" s="182"/>
      <c r="F550" s="182"/>
      <c r="G550" s="182"/>
      <c r="H550" s="182"/>
      <c r="I550" s="3"/>
      <c r="J550" s="4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42"/>
      <c r="B551" s="182"/>
      <c r="C551" s="182"/>
      <c r="D551" s="182"/>
      <c r="E551" s="182"/>
      <c r="F551" s="182"/>
      <c r="G551" s="182"/>
      <c r="H551" s="182"/>
      <c r="I551" s="3"/>
      <c r="J551" s="4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42"/>
      <c r="B552" s="182"/>
      <c r="C552" s="182"/>
      <c r="D552" s="182"/>
      <c r="E552" s="182"/>
      <c r="F552" s="182"/>
      <c r="G552" s="182"/>
      <c r="H552" s="182"/>
      <c r="I552" s="3"/>
      <c r="J552" s="4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42"/>
      <c r="B553" s="182"/>
      <c r="C553" s="182"/>
      <c r="D553" s="182"/>
      <c r="E553" s="182"/>
      <c r="F553" s="182"/>
      <c r="G553" s="182"/>
      <c r="H553" s="182"/>
      <c r="I553" s="3"/>
      <c r="J553" s="4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42"/>
      <c r="B554" s="182"/>
      <c r="C554" s="182"/>
      <c r="D554" s="182"/>
      <c r="E554" s="182"/>
      <c r="F554" s="182"/>
      <c r="G554" s="182"/>
      <c r="H554" s="182"/>
      <c r="I554" s="3"/>
      <c r="J554" s="4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42"/>
      <c r="B555" s="182"/>
      <c r="C555" s="182"/>
      <c r="D555" s="182"/>
      <c r="E555" s="182"/>
      <c r="F555" s="182"/>
      <c r="G555" s="182"/>
      <c r="H555" s="182"/>
      <c r="I555" s="3"/>
      <c r="J555" s="4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42"/>
      <c r="B556" s="182"/>
      <c r="C556" s="182"/>
      <c r="D556" s="182"/>
      <c r="E556" s="182"/>
      <c r="F556" s="182"/>
      <c r="G556" s="182"/>
      <c r="H556" s="182"/>
      <c r="I556" s="3"/>
      <c r="J556" s="4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42"/>
      <c r="B557" s="182"/>
      <c r="C557" s="182"/>
      <c r="D557" s="182"/>
      <c r="E557" s="182"/>
      <c r="F557" s="182"/>
      <c r="G557" s="182"/>
      <c r="H557" s="182"/>
      <c r="I557" s="3"/>
      <c r="J557" s="4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42"/>
      <c r="B558" s="182"/>
      <c r="C558" s="182"/>
      <c r="D558" s="182"/>
      <c r="E558" s="182"/>
      <c r="F558" s="182"/>
      <c r="G558" s="182"/>
      <c r="H558" s="182"/>
      <c r="I558" s="3"/>
      <c r="J558" s="4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42"/>
      <c r="B559" s="182"/>
      <c r="C559" s="182"/>
      <c r="D559" s="182"/>
      <c r="E559" s="182"/>
      <c r="F559" s="182"/>
      <c r="G559" s="182"/>
      <c r="H559" s="182"/>
      <c r="I559" s="3"/>
      <c r="J559" s="4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42"/>
      <c r="B560" s="182"/>
      <c r="C560" s="182"/>
      <c r="D560" s="182"/>
      <c r="E560" s="182"/>
      <c r="F560" s="182"/>
      <c r="G560" s="182"/>
      <c r="H560" s="182"/>
      <c r="I560" s="3"/>
      <c r="J560" s="4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42"/>
      <c r="B561" s="182"/>
      <c r="C561" s="182"/>
      <c r="D561" s="182"/>
      <c r="E561" s="182"/>
      <c r="F561" s="182"/>
      <c r="G561" s="182"/>
      <c r="H561" s="182"/>
      <c r="I561" s="3"/>
      <c r="J561" s="4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42"/>
      <c r="B562" s="182"/>
      <c r="C562" s="182"/>
      <c r="D562" s="182"/>
      <c r="E562" s="182"/>
      <c r="F562" s="182"/>
      <c r="G562" s="182"/>
      <c r="H562" s="182"/>
      <c r="I562" s="3"/>
      <c r="J562" s="4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42"/>
      <c r="B563" s="182"/>
      <c r="C563" s="182"/>
      <c r="D563" s="182"/>
      <c r="E563" s="182"/>
      <c r="F563" s="182"/>
      <c r="G563" s="182"/>
      <c r="H563" s="182"/>
      <c r="I563" s="3"/>
      <c r="J563" s="4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42"/>
      <c r="B564" s="182"/>
      <c r="C564" s="182"/>
      <c r="D564" s="182"/>
      <c r="E564" s="182"/>
      <c r="F564" s="182"/>
      <c r="G564" s="182"/>
      <c r="H564" s="182"/>
      <c r="I564" s="3"/>
      <c r="J564" s="4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42"/>
      <c r="B565" s="182"/>
      <c r="C565" s="182"/>
      <c r="D565" s="182"/>
      <c r="E565" s="182"/>
      <c r="F565" s="182"/>
      <c r="G565" s="182"/>
      <c r="H565" s="182"/>
      <c r="I565" s="3"/>
      <c r="J565" s="4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42"/>
      <c r="B566" s="182"/>
      <c r="C566" s="182"/>
      <c r="D566" s="182"/>
      <c r="E566" s="182"/>
      <c r="F566" s="182"/>
      <c r="G566" s="182"/>
      <c r="H566" s="182"/>
      <c r="I566" s="3"/>
      <c r="J566" s="4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42"/>
      <c r="B567" s="182"/>
      <c r="C567" s="182"/>
      <c r="D567" s="182"/>
      <c r="E567" s="182"/>
      <c r="F567" s="182"/>
      <c r="G567" s="182"/>
      <c r="H567" s="182"/>
      <c r="I567" s="3"/>
      <c r="J567" s="4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42"/>
      <c r="B568" s="182"/>
      <c r="C568" s="182"/>
      <c r="D568" s="182"/>
      <c r="E568" s="182"/>
      <c r="F568" s="182"/>
      <c r="G568" s="182"/>
      <c r="H568" s="182"/>
      <c r="I568" s="3"/>
      <c r="J568" s="4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42"/>
      <c r="B569" s="182"/>
      <c r="C569" s="182"/>
      <c r="D569" s="182"/>
      <c r="E569" s="182"/>
      <c r="F569" s="182"/>
      <c r="G569" s="182"/>
      <c r="H569" s="182"/>
      <c r="I569" s="3"/>
      <c r="J569" s="4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42"/>
      <c r="B570" s="182"/>
      <c r="C570" s="182"/>
      <c r="D570" s="182"/>
      <c r="E570" s="182"/>
      <c r="F570" s="182"/>
      <c r="G570" s="182"/>
      <c r="H570" s="182"/>
      <c r="I570" s="3"/>
      <c r="J570" s="4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42"/>
      <c r="B571" s="182"/>
      <c r="C571" s="182"/>
      <c r="D571" s="182"/>
      <c r="E571" s="182"/>
      <c r="F571" s="182"/>
      <c r="G571" s="182"/>
      <c r="H571" s="182"/>
      <c r="I571" s="3"/>
      <c r="J571" s="4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42"/>
      <c r="B572" s="182"/>
      <c r="C572" s="182"/>
      <c r="D572" s="182"/>
      <c r="E572" s="182"/>
      <c r="F572" s="182"/>
      <c r="G572" s="182"/>
      <c r="H572" s="182"/>
      <c r="I572" s="3"/>
      <c r="J572" s="4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42"/>
      <c r="B573" s="182"/>
      <c r="C573" s="182"/>
      <c r="D573" s="182"/>
      <c r="E573" s="182"/>
      <c r="F573" s="182"/>
      <c r="G573" s="182"/>
      <c r="H573" s="182"/>
      <c r="I573" s="3"/>
      <c r="J573" s="4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42"/>
      <c r="B574" s="182"/>
      <c r="C574" s="182"/>
      <c r="D574" s="182"/>
      <c r="E574" s="182"/>
      <c r="F574" s="182"/>
      <c r="G574" s="182"/>
      <c r="H574" s="182"/>
      <c r="I574" s="3"/>
      <c r="J574" s="4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42"/>
      <c r="B575" s="182"/>
      <c r="C575" s="182"/>
      <c r="D575" s="182"/>
      <c r="E575" s="182"/>
      <c r="F575" s="182"/>
      <c r="G575" s="182"/>
      <c r="H575" s="182"/>
      <c r="I575" s="3"/>
      <c r="J575" s="4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42"/>
      <c r="B576" s="182"/>
      <c r="C576" s="182"/>
      <c r="D576" s="182"/>
      <c r="E576" s="182"/>
      <c r="F576" s="182"/>
      <c r="G576" s="182"/>
      <c r="H576" s="182"/>
      <c r="I576" s="3"/>
      <c r="J576" s="4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42"/>
      <c r="B577" s="182"/>
      <c r="C577" s="182"/>
      <c r="D577" s="182"/>
      <c r="E577" s="182"/>
      <c r="F577" s="182"/>
      <c r="G577" s="182"/>
      <c r="H577" s="182"/>
      <c r="I577" s="3"/>
      <c r="J577" s="4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42"/>
      <c r="B578" s="182"/>
      <c r="C578" s="182"/>
      <c r="D578" s="182"/>
      <c r="E578" s="182"/>
      <c r="F578" s="182"/>
      <c r="G578" s="182"/>
      <c r="H578" s="182"/>
      <c r="I578" s="3"/>
      <c r="J578" s="4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42"/>
      <c r="B579" s="182"/>
      <c r="C579" s="182"/>
      <c r="D579" s="182"/>
      <c r="E579" s="182"/>
      <c r="F579" s="182"/>
      <c r="G579" s="182"/>
      <c r="H579" s="182"/>
      <c r="I579" s="3"/>
      <c r="J579" s="4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42"/>
      <c r="B580" s="182"/>
      <c r="C580" s="182"/>
      <c r="D580" s="182"/>
      <c r="E580" s="182"/>
      <c r="F580" s="182"/>
      <c r="G580" s="182"/>
      <c r="H580" s="182"/>
      <c r="I580" s="3"/>
      <c r="J580" s="4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42"/>
      <c r="B581" s="182"/>
      <c r="C581" s="182"/>
      <c r="D581" s="182"/>
      <c r="E581" s="182"/>
      <c r="F581" s="182"/>
      <c r="G581" s="182"/>
      <c r="H581" s="182"/>
      <c r="I581" s="3"/>
      <c r="J581" s="4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42"/>
      <c r="B582" s="182"/>
      <c r="C582" s="182"/>
      <c r="D582" s="182"/>
      <c r="E582" s="182"/>
      <c r="F582" s="182"/>
      <c r="G582" s="182"/>
      <c r="H582" s="182"/>
      <c r="I582" s="3"/>
      <c r="J582" s="4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42"/>
      <c r="B583" s="182"/>
      <c r="C583" s="182"/>
      <c r="D583" s="182"/>
      <c r="E583" s="182"/>
      <c r="F583" s="182"/>
      <c r="G583" s="182"/>
      <c r="H583" s="182"/>
      <c r="I583" s="3"/>
      <c r="J583" s="4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42"/>
      <c r="B584" s="182"/>
      <c r="C584" s="182"/>
      <c r="D584" s="182"/>
      <c r="E584" s="182"/>
      <c r="F584" s="182"/>
      <c r="G584" s="182"/>
      <c r="H584" s="182"/>
      <c r="I584" s="3"/>
      <c r="J584" s="4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42"/>
      <c r="B585" s="182"/>
      <c r="C585" s="182"/>
      <c r="D585" s="182"/>
      <c r="E585" s="182"/>
      <c r="F585" s="182"/>
      <c r="G585" s="182"/>
      <c r="H585" s="182"/>
      <c r="I585" s="3"/>
      <c r="J585" s="4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42"/>
      <c r="B586" s="182"/>
      <c r="C586" s="182"/>
      <c r="D586" s="182"/>
      <c r="E586" s="182"/>
      <c r="F586" s="182"/>
      <c r="G586" s="182"/>
      <c r="H586" s="182"/>
      <c r="I586" s="3"/>
      <c r="J586" s="4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42"/>
      <c r="B587" s="182"/>
      <c r="C587" s="182"/>
      <c r="D587" s="182"/>
      <c r="E587" s="182"/>
      <c r="F587" s="182"/>
      <c r="G587" s="182"/>
      <c r="H587" s="182"/>
      <c r="I587" s="3"/>
      <c r="J587" s="4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42"/>
      <c r="B588" s="182"/>
      <c r="C588" s="182"/>
      <c r="D588" s="182"/>
      <c r="E588" s="182"/>
      <c r="F588" s="182"/>
      <c r="G588" s="182"/>
      <c r="H588" s="182"/>
      <c r="I588" s="3"/>
      <c r="J588" s="4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42"/>
      <c r="B589" s="182"/>
      <c r="C589" s="182"/>
      <c r="D589" s="182"/>
      <c r="E589" s="182"/>
      <c r="F589" s="182"/>
      <c r="G589" s="182"/>
      <c r="H589" s="182"/>
      <c r="I589" s="3"/>
      <c r="J589" s="4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42"/>
      <c r="B590" s="182"/>
      <c r="C590" s="182"/>
      <c r="D590" s="182"/>
      <c r="E590" s="182"/>
      <c r="F590" s="182"/>
      <c r="G590" s="182"/>
      <c r="H590" s="182"/>
      <c r="I590" s="3"/>
      <c r="J590" s="4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42"/>
      <c r="B591" s="182"/>
      <c r="C591" s="182"/>
      <c r="D591" s="182"/>
      <c r="E591" s="182"/>
      <c r="F591" s="182"/>
      <c r="G591" s="182"/>
      <c r="H591" s="182"/>
      <c r="I591" s="3"/>
      <c r="J591" s="4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42"/>
      <c r="B592" s="182"/>
      <c r="C592" s="182"/>
      <c r="D592" s="182"/>
      <c r="E592" s="182"/>
      <c r="F592" s="182"/>
      <c r="G592" s="182"/>
      <c r="H592" s="182"/>
      <c r="I592" s="3"/>
      <c r="J592" s="4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42"/>
      <c r="B593" s="182"/>
      <c r="C593" s="182"/>
      <c r="D593" s="182"/>
      <c r="E593" s="182"/>
      <c r="F593" s="182"/>
      <c r="G593" s="182"/>
      <c r="H593" s="182"/>
      <c r="I593" s="3"/>
      <c r="J593" s="4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42"/>
      <c r="B594" s="182"/>
      <c r="C594" s="182"/>
      <c r="D594" s="182"/>
      <c r="E594" s="182"/>
      <c r="F594" s="182"/>
      <c r="G594" s="182"/>
      <c r="H594" s="182"/>
      <c r="I594" s="3"/>
      <c r="J594" s="4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42"/>
      <c r="B595" s="182"/>
      <c r="C595" s="182"/>
      <c r="D595" s="182"/>
      <c r="E595" s="182"/>
      <c r="F595" s="182"/>
      <c r="G595" s="182"/>
      <c r="H595" s="182"/>
      <c r="I595" s="3"/>
      <c r="J595" s="4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42"/>
      <c r="B596" s="182"/>
      <c r="C596" s="182"/>
      <c r="D596" s="182"/>
      <c r="E596" s="182"/>
      <c r="F596" s="182"/>
      <c r="G596" s="182"/>
      <c r="H596" s="182"/>
      <c r="I596" s="3"/>
      <c r="J596" s="4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42"/>
      <c r="B597" s="182"/>
      <c r="C597" s="182"/>
      <c r="D597" s="182"/>
      <c r="E597" s="182"/>
      <c r="F597" s="182"/>
      <c r="G597" s="182"/>
      <c r="H597" s="182"/>
      <c r="I597" s="3"/>
      <c r="J597" s="4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42"/>
      <c r="B598" s="182"/>
      <c r="C598" s="182"/>
      <c r="D598" s="182"/>
      <c r="E598" s="182"/>
      <c r="F598" s="182"/>
      <c r="G598" s="182"/>
      <c r="H598" s="182"/>
      <c r="I598" s="3"/>
      <c r="J598" s="4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42"/>
      <c r="B599" s="182"/>
      <c r="C599" s="182"/>
      <c r="D599" s="182"/>
      <c r="E599" s="182"/>
      <c r="F599" s="182"/>
      <c r="G599" s="182"/>
      <c r="H599" s="182"/>
      <c r="I599" s="3"/>
      <c r="J599" s="4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42"/>
      <c r="B600" s="182"/>
      <c r="C600" s="182"/>
      <c r="D600" s="182"/>
      <c r="E600" s="182"/>
      <c r="F600" s="182"/>
      <c r="G600" s="182"/>
      <c r="H600" s="182"/>
      <c r="I600" s="3"/>
      <c r="J600" s="4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42"/>
      <c r="B601" s="182"/>
      <c r="C601" s="182"/>
      <c r="D601" s="182"/>
      <c r="E601" s="182"/>
      <c r="F601" s="182"/>
      <c r="G601" s="182"/>
      <c r="H601" s="182"/>
      <c r="I601" s="3"/>
      <c r="J601" s="4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42"/>
      <c r="B602" s="182"/>
      <c r="C602" s="182"/>
      <c r="D602" s="182"/>
      <c r="E602" s="182"/>
      <c r="F602" s="182"/>
      <c r="G602" s="182"/>
      <c r="H602" s="182"/>
      <c r="I602" s="3"/>
      <c r="J602" s="4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42"/>
      <c r="B603" s="182"/>
      <c r="C603" s="182"/>
      <c r="D603" s="182"/>
      <c r="E603" s="182"/>
      <c r="F603" s="182"/>
      <c r="G603" s="182"/>
      <c r="H603" s="182"/>
      <c r="I603" s="3"/>
      <c r="J603" s="4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42"/>
      <c r="B604" s="182"/>
      <c r="C604" s="182"/>
      <c r="D604" s="182"/>
      <c r="E604" s="182"/>
      <c r="F604" s="182"/>
      <c r="G604" s="182"/>
      <c r="H604" s="182"/>
      <c r="I604" s="3"/>
      <c r="J604" s="4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42"/>
      <c r="B605" s="182"/>
      <c r="C605" s="182"/>
      <c r="D605" s="182"/>
      <c r="E605" s="182"/>
      <c r="F605" s="182"/>
      <c r="G605" s="182"/>
      <c r="H605" s="182"/>
      <c r="I605" s="3"/>
      <c r="J605" s="4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42"/>
      <c r="B606" s="182"/>
      <c r="C606" s="182"/>
      <c r="D606" s="182"/>
      <c r="E606" s="182"/>
      <c r="F606" s="182"/>
      <c r="G606" s="182"/>
      <c r="H606" s="182"/>
      <c r="I606" s="3"/>
      <c r="J606" s="4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42"/>
      <c r="B607" s="182"/>
      <c r="C607" s="182"/>
      <c r="D607" s="182"/>
      <c r="E607" s="182"/>
      <c r="F607" s="182"/>
      <c r="G607" s="182"/>
      <c r="H607" s="182"/>
      <c r="I607" s="3"/>
      <c r="J607" s="4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42"/>
      <c r="B608" s="182"/>
      <c r="C608" s="182"/>
      <c r="D608" s="182"/>
      <c r="E608" s="182"/>
      <c r="F608" s="182"/>
      <c r="G608" s="182"/>
      <c r="H608" s="182"/>
      <c r="I608" s="3"/>
      <c r="J608" s="4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42"/>
      <c r="B609" s="182"/>
      <c r="C609" s="182"/>
      <c r="D609" s="182"/>
      <c r="E609" s="182"/>
      <c r="F609" s="182"/>
      <c r="G609" s="182"/>
      <c r="H609" s="182"/>
      <c r="I609" s="3"/>
      <c r="J609" s="4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42"/>
      <c r="B610" s="182"/>
      <c r="C610" s="182"/>
      <c r="D610" s="182"/>
      <c r="E610" s="182"/>
      <c r="F610" s="182"/>
      <c r="G610" s="182"/>
      <c r="H610" s="182"/>
      <c r="I610" s="3"/>
      <c r="J610" s="4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42"/>
      <c r="B611" s="182"/>
      <c r="C611" s="182"/>
      <c r="D611" s="182"/>
      <c r="E611" s="182"/>
      <c r="F611" s="182"/>
      <c r="G611" s="182"/>
      <c r="H611" s="182"/>
      <c r="I611" s="3"/>
      <c r="J611" s="4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42"/>
      <c r="B612" s="182"/>
      <c r="C612" s="182"/>
      <c r="D612" s="182"/>
      <c r="E612" s="182"/>
      <c r="F612" s="182"/>
      <c r="G612" s="182"/>
      <c r="H612" s="182"/>
      <c r="I612" s="3"/>
      <c r="J612" s="4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42"/>
      <c r="B613" s="182"/>
      <c r="C613" s="182"/>
      <c r="D613" s="182"/>
      <c r="E613" s="182"/>
      <c r="F613" s="182"/>
      <c r="G613" s="182"/>
      <c r="H613" s="182"/>
      <c r="I613" s="3"/>
      <c r="J613" s="4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42"/>
      <c r="B614" s="182"/>
      <c r="C614" s="182"/>
      <c r="D614" s="182"/>
      <c r="E614" s="182"/>
      <c r="F614" s="182"/>
      <c r="G614" s="182"/>
      <c r="H614" s="182"/>
      <c r="I614" s="3"/>
      <c r="J614" s="4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42"/>
      <c r="B615" s="182"/>
      <c r="C615" s="182"/>
      <c r="D615" s="182"/>
      <c r="E615" s="182"/>
      <c r="F615" s="182"/>
      <c r="G615" s="182"/>
      <c r="H615" s="182"/>
      <c r="I615" s="3"/>
      <c r="J615" s="4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42"/>
      <c r="B616" s="182"/>
      <c r="C616" s="182"/>
      <c r="D616" s="182"/>
      <c r="E616" s="182"/>
      <c r="F616" s="182"/>
      <c r="G616" s="182"/>
      <c r="H616" s="182"/>
      <c r="I616" s="3"/>
      <c r="J616" s="4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42"/>
      <c r="B617" s="182"/>
      <c r="C617" s="182"/>
      <c r="D617" s="182"/>
      <c r="E617" s="182"/>
      <c r="F617" s="182"/>
      <c r="G617" s="182"/>
      <c r="H617" s="182"/>
      <c r="I617" s="3"/>
      <c r="J617" s="4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42"/>
      <c r="B618" s="182"/>
      <c r="C618" s="182"/>
      <c r="D618" s="182"/>
      <c r="E618" s="182"/>
      <c r="F618" s="182"/>
      <c r="G618" s="182"/>
      <c r="H618" s="182"/>
      <c r="I618" s="3"/>
      <c r="J618" s="4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42"/>
      <c r="B619" s="182"/>
      <c r="C619" s="182"/>
      <c r="D619" s="182"/>
      <c r="E619" s="182"/>
      <c r="F619" s="182"/>
      <c r="G619" s="182"/>
      <c r="H619" s="182"/>
      <c r="I619" s="3"/>
      <c r="J619" s="4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42"/>
      <c r="B620" s="182"/>
      <c r="C620" s="182"/>
      <c r="D620" s="182"/>
      <c r="E620" s="182"/>
      <c r="F620" s="182"/>
      <c r="G620" s="182"/>
      <c r="H620" s="182"/>
      <c r="I620" s="3"/>
      <c r="J620" s="4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42"/>
      <c r="B621" s="182"/>
      <c r="C621" s="182"/>
      <c r="D621" s="182"/>
      <c r="E621" s="182"/>
      <c r="F621" s="182"/>
      <c r="G621" s="182"/>
      <c r="H621" s="182"/>
      <c r="I621" s="3"/>
      <c r="J621" s="4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42"/>
      <c r="B622" s="182"/>
      <c r="C622" s="182"/>
      <c r="D622" s="182"/>
      <c r="E622" s="182"/>
      <c r="F622" s="182"/>
      <c r="G622" s="182"/>
      <c r="H622" s="182"/>
      <c r="I622" s="3"/>
      <c r="J622" s="4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42"/>
      <c r="B623" s="182"/>
      <c r="C623" s="182"/>
      <c r="D623" s="182"/>
      <c r="E623" s="182"/>
      <c r="F623" s="182"/>
      <c r="G623" s="182"/>
      <c r="H623" s="182"/>
      <c r="I623" s="3"/>
      <c r="J623" s="4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42"/>
      <c r="B624" s="182"/>
      <c r="C624" s="182"/>
      <c r="D624" s="182"/>
      <c r="E624" s="182"/>
      <c r="F624" s="182"/>
      <c r="G624" s="182"/>
      <c r="H624" s="182"/>
      <c r="I624" s="3"/>
      <c r="J624" s="4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42"/>
      <c r="B625" s="182"/>
      <c r="C625" s="182"/>
      <c r="D625" s="182"/>
      <c r="E625" s="182"/>
      <c r="F625" s="182"/>
      <c r="G625" s="182"/>
      <c r="H625" s="182"/>
      <c r="I625" s="3"/>
      <c r="J625" s="4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42"/>
      <c r="B626" s="182"/>
      <c r="C626" s="182"/>
      <c r="D626" s="182"/>
      <c r="E626" s="182"/>
      <c r="F626" s="182"/>
      <c r="G626" s="182"/>
      <c r="H626" s="182"/>
      <c r="I626" s="3"/>
      <c r="J626" s="4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42"/>
      <c r="B627" s="182"/>
      <c r="C627" s="182"/>
      <c r="D627" s="182"/>
      <c r="E627" s="182"/>
      <c r="F627" s="182"/>
      <c r="G627" s="182"/>
      <c r="H627" s="182"/>
      <c r="I627" s="3"/>
      <c r="J627" s="4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42"/>
      <c r="B628" s="182"/>
      <c r="C628" s="182"/>
      <c r="D628" s="182"/>
      <c r="E628" s="182"/>
      <c r="F628" s="182"/>
      <c r="G628" s="182"/>
      <c r="H628" s="182"/>
      <c r="I628" s="3"/>
      <c r="J628" s="4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42"/>
      <c r="B629" s="182"/>
      <c r="C629" s="182"/>
      <c r="D629" s="182"/>
      <c r="E629" s="182"/>
      <c r="F629" s="182"/>
      <c r="G629" s="182"/>
      <c r="H629" s="182"/>
      <c r="I629" s="3"/>
      <c r="J629" s="4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42"/>
      <c r="B630" s="182"/>
      <c r="C630" s="182"/>
      <c r="D630" s="182"/>
      <c r="E630" s="182"/>
      <c r="F630" s="182"/>
      <c r="G630" s="182"/>
      <c r="H630" s="182"/>
      <c r="I630" s="3"/>
      <c r="J630" s="4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42"/>
      <c r="B631" s="182"/>
      <c r="C631" s="182"/>
      <c r="D631" s="182"/>
      <c r="E631" s="182"/>
      <c r="F631" s="182"/>
      <c r="G631" s="182"/>
      <c r="H631" s="182"/>
      <c r="I631" s="3"/>
      <c r="J631" s="4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42"/>
      <c r="B632" s="182"/>
      <c r="C632" s="182"/>
      <c r="D632" s="182"/>
      <c r="E632" s="182"/>
      <c r="F632" s="182"/>
      <c r="G632" s="182"/>
      <c r="H632" s="182"/>
      <c r="I632" s="3"/>
      <c r="J632" s="4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42"/>
      <c r="B633" s="182"/>
      <c r="C633" s="182"/>
      <c r="D633" s="182"/>
      <c r="E633" s="182"/>
      <c r="F633" s="182"/>
      <c r="G633" s="182"/>
      <c r="H633" s="182"/>
      <c r="I633" s="3"/>
      <c r="J633" s="4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42"/>
      <c r="B634" s="182"/>
      <c r="C634" s="182"/>
      <c r="D634" s="182"/>
      <c r="E634" s="182"/>
      <c r="F634" s="182"/>
      <c r="G634" s="182"/>
      <c r="H634" s="182"/>
      <c r="I634" s="3"/>
      <c r="J634" s="4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42"/>
      <c r="B635" s="182"/>
      <c r="C635" s="182"/>
      <c r="D635" s="182"/>
      <c r="E635" s="182"/>
      <c r="F635" s="182"/>
      <c r="G635" s="182"/>
      <c r="H635" s="182"/>
      <c r="I635" s="3"/>
      <c r="J635" s="4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42"/>
      <c r="B636" s="182"/>
      <c r="C636" s="182"/>
      <c r="D636" s="182"/>
      <c r="E636" s="182"/>
      <c r="F636" s="182"/>
      <c r="G636" s="182"/>
      <c r="H636" s="182"/>
      <c r="I636" s="3"/>
      <c r="J636" s="4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42"/>
      <c r="B637" s="182"/>
      <c r="C637" s="182"/>
      <c r="D637" s="182"/>
      <c r="E637" s="182"/>
      <c r="F637" s="182"/>
      <c r="G637" s="182"/>
      <c r="H637" s="182"/>
      <c r="I637" s="3"/>
      <c r="J637" s="4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42"/>
      <c r="B638" s="182"/>
      <c r="C638" s="182"/>
      <c r="D638" s="182"/>
      <c r="E638" s="182"/>
      <c r="F638" s="182"/>
      <c r="G638" s="182"/>
      <c r="H638" s="182"/>
      <c r="I638" s="3"/>
      <c r="J638" s="4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42"/>
      <c r="B639" s="182"/>
      <c r="C639" s="182"/>
      <c r="D639" s="182"/>
      <c r="E639" s="182"/>
      <c r="F639" s="182"/>
      <c r="G639" s="182"/>
      <c r="H639" s="182"/>
      <c r="I639" s="3"/>
      <c r="J639" s="4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42"/>
      <c r="B640" s="182"/>
      <c r="C640" s="182"/>
      <c r="D640" s="182"/>
      <c r="E640" s="182"/>
      <c r="F640" s="182"/>
      <c r="G640" s="182"/>
      <c r="H640" s="182"/>
      <c r="I640" s="3"/>
      <c r="J640" s="4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42"/>
      <c r="B641" s="182"/>
      <c r="C641" s="182"/>
      <c r="D641" s="182"/>
      <c r="E641" s="182"/>
      <c r="F641" s="182"/>
      <c r="G641" s="182"/>
      <c r="H641" s="182"/>
      <c r="I641" s="3"/>
      <c r="J641" s="4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42"/>
      <c r="B642" s="182"/>
      <c r="C642" s="182"/>
      <c r="D642" s="182"/>
      <c r="E642" s="182"/>
      <c r="F642" s="182"/>
      <c r="G642" s="182"/>
      <c r="H642" s="182"/>
      <c r="I642" s="3"/>
      <c r="J642" s="4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42"/>
      <c r="B643" s="182"/>
      <c r="C643" s="182"/>
      <c r="D643" s="182"/>
      <c r="E643" s="182"/>
      <c r="F643" s="182"/>
      <c r="G643" s="182"/>
      <c r="H643" s="182"/>
      <c r="I643" s="3"/>
      <c r="J643" s="4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42"/>
      <c r="B644" s="182"/>
      <c r="C644" s="182"/>
      <c r="D644" s="182"/>
      <c r="E644" s="182"/>
      <c r="F644" s="182"/>
      <c r="G644" s="182"/>
      <c r="H644" s="182"/>
      <c r="I644" s="3"/>
      <c r="J644" s="4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42"/>
      <c r="B645" s="182"/>
      <c r="C645" s="182"/>
      <c r="D645" s="182"/>
      <c r="E645" s="182"/>
      <c r="F645" s="182"/>
      <c r="G645" s="182"/>
      <c r="H645" s="182"/>
      <c r="I645" s="3"/>
      <c r="J645" s="4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42"/>
      <c r="B646" s="182"/>
      <c r="C646" s="182"/>
      <c r="D646" s="182"/>
      <c r="E646" s="182"/>
      <c r="F646" s="182"/>
      <c r="G646" s="182"/>
      <c r="H646" s="182"/>
      <c r="I646" s="3"/>
      <c r="J646" s="4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42"/>
      <c r="B647" s="182"/>
      <c r="C647" s="182"/>
      <c r="D647" s="182"/>
      <c r="E647" s="182"/>
      <c r="F647" s="182"/>
      <c r="G647" s="182"/>
      <c r="H647" s="182"/>
      <c r="I647" s="3"/>
      <c r="J647" s="4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42"/>
      <c r="B648" s="182"/>
      <c r="C648" s="182"/>
      <c r="D648" s="182"/>
      <c r="E648" s="182"/>
      <c r="F648" s="182"/>
      <c r="G648" s="182"/>
      <c r="H648" s="182"/>
      <c r="I648" s="3"/>
      <c r="J648" s="4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42"/>
      <c r="B649" s="182"/>
      <c r="C649" s="182"/>
      <c r="D649" s="182"/>
      <c r="E649" s="182"/>
      <c r="F649" s="182"/>
      <c r="G649" s="182"/>
      <c r="H649" s="182"/>
      <c r="I649" s="3"/>
      <c r="J649" s="4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42"/>
      <c r="B650" s="182"/>
      <c r="C650" s="182"/>
      <c r="D650" s="182"/>
      <c r="E650" s="182"/>
      <c r="F650" s="182"/>
      <c r="G650" s="182"/>
      <c r="H650" s="182"/>
      <c r="I650" s="3"/>
      <c r="J650" s="4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42"/>
      <c r="B651" s="182"/>
      <c r="C651" s="182"/>
      <c r="D651" s="182"/>
      <c r="E651" s="182"/>
      <c r="F651" s="182"/>
      <c r="G651" s="182"/>
      <c r="H651" s="182"/>
      <c r="I651" s="3"/>
      <c r="J651" s="4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42"/>
      <c r="B652" s="182"/>
      <c r="C652" s="182"/>
      <c r="D652" s="182"/>
      <c r="E652" s="182"/>
      <c r="F652" s="182"/>
      <c r="G652" s="182"/>
      <c r="H652" s="182"/>
      <c r="I652" s="3"/>
      <c r="J652" s="4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42"/>
      <c r="B653" s="182"/>
      <c r="C653" s="182"/>
      <c r="D653" s="182"/>
      <c r="E653" s="182"/>
      <c r="F653" s="182"/>
      <c r="G653" s="182"/>
      <c r="H653" s="182"/>
      <c r="I653" s="3"/>
      <c r="J653" s="4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42"/>
      <c r="B654" s="182"/>
      <c r="C654" s="182"/>
      <c r="D654" s="182"/>
      <c r="E654" s="182"/>
      <c r="F654" s="182"/>
      <c r="G654" s="182"/>
      <c r="H654" s="182"/>
      <c r="I654" s="3"/>
      <c r="J654" s="4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42"/>
      <c r="B655" s="182"/>
      <c r="C655" s="182"/>
      <c r="D655" s="182"/>
      <c r="E655" s="182"/>
      <c r="F655" s="182"/>
      <c r="G655" s="182"/>
      <c r="H655" s="182"/>
      <c r="I655" s="3"/>
      <c r="J655" s="4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42"/>
      <c r="B656" s="182"/>
      <c r="C656" s="182"/>
      <c r="D656" s="182"/>
      <c r="E656" s="182"/>
      <c r="F656" s="182"/>
      <c r="G656" s="182"/>
      <c r="H656" s="182"/>
      <c r="I656" s="3"/>
      <c r="J656" s="4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42"/>
      <c r="B657" s="182"/>
      <c r="C657" s="182"/>
      <c r="D657" s="182"/>
      <c r="E657" s="182"/>
      <c r="F657" s="182"/>
      <c r="G657" s="182"/>
      <c r="H657" s="182"/>
      <c r="I657" s="3"/>
      <c r="J657" s="4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42"/>
      <c r="B658" s="182"/>
      <c r="C658" s="182"/>
      <c r="D658" s="182"/>
      <c r="E658" s="182"/>
      <c r="F658" s="182"/>
      <c r="G658" s="182"/>
      <c r="H658" s="182"/>
      <c r="I658" s="3"/>
      <c r="J658" s="4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42"/>
      <c r="B659" s="182"/>
      <c r="C659" s="182"/>
      <c r="D659" s="182"/>
      <c r="E659" s="182"/>
      <c r="F659" s="182"/>
      <c r="G659" s="182"/>
      <c r="H659" s="182"/>
      <c r="I659" s="3"/>
      <c r="J659" s="4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42"/>
      <c r="B660" s="182"/>
      <c r="C660" s="182"/>
      <c r="D660" s="182"/>
      <c r="E660" s="182"/>
      <c r="F660" s="182"/>
      <c r="G660" s="182"/>
      <c r="H660" s="182"/>
      <c r="I660" s="3"/>
      <c r="J660" s="4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42"/>
      <c r="B661" s="182"/>
      <c r="C661" s="182"/>
      <c r="D661" s="182"/>
      <c r="E661" s="182"/>
      <c r="F661" s="182"/>
      <c r="G661" s="182"/>
      <c r="H661" s="182"/>
      <c r="I661" s="3"/>
      <c r="J661" s="4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42"/>
      <c r="B662" s="182"/>
      <c r="C662" s="182"/>
      <c r="D662" s="182"/>
      <c r="E662" s="182"/>
      <c r="F662" s="182"/>
      <c r="G662" s="182"/>
      <c r="H662" s="182"/>
      <c r="I662" s="3"/>
      <c r="J662" s="4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42"/>
      <c r="B663" s="182"/>
      <c r="C663" s="182"/>
      <c r="D663" s="182"/>
      <c r="E663" s="182"/>
      <c r="F663" s="182"/>
      <c r="G663" s="182"/>
      <c r="H663" s="182"/>
      <c r="I663" s="3"/>
      <c r="J663" s="4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42"/>
      <c r="B664" s="182"/>
      <c r="C664" s="182"/>
      <c r="D664" s="182"/>
      <c r="E664" s="182"/>
      <c r="F664" s="182"/>
      <c r="G664" s="182"/>
      <c r="H664" s="182"/>
      <c r="I664" s="3"/>
      <c r="J664" s="4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42"/>
      <c r="B665" s="182"/>
      <c r="C665" s="182"/>
      <c r="D665" s="182"/>
      <c r="E665" s="182"/>
      <c r="F665" s="182"/>
      <c r="G665" s="182"/>
      <c r="H665" s="182"/>
      <c r="I665" s="3"/>
      <c r="J665" s="4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42"/>
      <c r="B666" s="182"/>
      <c r="C666" s="182"/>
      <c r="D666" s="182"/>
      <c r="E666" s="182"/>
      <c r="F666" s="182"/>
      <c r="G666" s="182"/>
      <c r="H666" s="182"/>
      <c r="I666" s="3"/>
      <c r="J666" s="4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42"/>
      <c r="B667" s="182"/>
      <c r="C667" s="182"/>
      <c r="D667" s="182"/>
      <c r="E667" s="182"/>
      <c r="F667" s="182"/>
      <c r="G667" s="182"/>
      <c r="H667" s="182"/>
      <c r="I667" s="3"/>
      <c r="J667" s="4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42"/>
      <c r="B668" s="182"/>
      <c r="C668" s="182"/>
      <c r="D668" s="182"/>
      <c r="E668" s="182"/>
      <c r="F668" s="182"/>
      <c r="G668" s="182"/>
      <c r="H668" s="182"/>
      <c r="I668" s="3"/>
      <c r="J668" s="4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42"/>
      <c r="B669" s="182"/>
      <c r="C669" s="182"/>
      <c r="D669" s="182"/>
      <c r="E669" s="182"/>
      <c r="F669" s="182"/>
      <c r="G669" s="182"/>
      <c r="H669" s="182"/>
      <c r="I669" s="3"/>
      <c r="J669" s="4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42"/>
      <c r="B670" s="182"/>
      <c r="C670" s="182"/>
      <c r="D670" s="182"/>
      <c r="E670" s="182"/>
      <c r="F670" s="182"/>
      <c r="G670" s="182"/>
      <c r="H670" s="182"/>
      <c r="I670" s="3"/>
      <c r="J670" s="4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42"/>
      <c r="B671" s="182"/>
      <c r="C671" s="182"/>
      <c r="D671" s="182"/>
      <c r="E671" s="182"/>
      <c r="F671" s="182"/>
      <c r="G671" s="182"/>
      <c r="H671" s="182"/>
      <c r="I671" s="3"/>
      <c r="J671" s="4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42"/>
      <c r="B672" s="182"/>
      <c r="C672" s="182"/>
      <c r="D672" s="182"/>
      <c r="E672" s="182"/>
      <c r="F672" s="182"/>
      <c r="G672" s="182"/>
      <c r="H672" s="182"/>
      <c r="I672" s="3"/>
      <c r="J672" s="4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42"/>
      <c r="B673" s="182"/>
      <c r="C673" s="182"/>
      <c r="D673" s="182"/>
      <c r="E673" s="182"/>
      <c r="F673" s="182"/>
      <c r="G673" s="182"/>
      <c r="H673" s="182"/>
      <c r="I673" s="3"/>
      <c r="J673" s="4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42"/>
      <c r="B674" s="182"/>
      <c r="C674" s="182"/>
      <c r="D674" s="182"/>
      <c r="E674" s="182"/>
      <c r="F674" s="182"/>
      <c r="G674" s="182"/>
      <c r="H674" s="182"/>
      <c r="I674" s="3"/>
      <c r="J674" s="4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42"/>
      <c r="B675" s="182"/>
      <c r="C675" s="182"/>
      <c r="D675" s="182"/>
      <c r="E675" s="182"/>
      <c r="F675" s="182"/>
      <c r="G675" s="182"/>
      <c r="H675" s="182"/>
      <c r="I675" s="3"/>
      <c r="J675" s="4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42"/>
      <c r="B676" s="182"/>
      <c r="C676" s="182"/>
      <c r="D676" s="182"/>
      <c r="E676" s="182"/>
      <c r="F676" s="182"/>
      <c r="G676" s="182"/>
      <c r="H676" s="182"/>
      <c r="I676" s="3"/>
      <c r="J676" s="4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42"/>
      <c r="B677" s="182"/>
      <c r="C677" s="182"/>
      <c r="D677" s="182"/>
      <c r="E677" s="182"/>
      <c r="F677" s="182"/>
      <c r="G677" s="182"/>
      <c r="H677" s="182"/>
      <c r="I677" s="3"/>
      <c r="J677" s="4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42"/>
      <c r="B678" s="182"/>
      <c r="C678" s="182"/>
      <c r="D678" s="182"/>
      <c r="E678" s="182"/>
      <c r="F678" s="182"/>
      <c r="G678" s="182"/>
      <c r="H678" s="182"/>
      <c r="I678" s="3"/>
      <c r="J678" s="4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42"/>
      <c r="B679" s="182"/>
      <c r="C679" s="182"/>
      <c r="D679" s="182"/>
      <c r="E679" s="182"/>
      <c r="F679" s="182"/>
      <c r="G679" s="182"/>
      <c r="H679" s="182"/>
      <c r="I679" s="3"/>
      <c r="J679" s="4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42"/>
      <c r="B680" s="182"/>
      <c r="C680" s="182"/>
      <c r="D680" s="182"/>
      <c r="E680" s="182"/>
      <c r="F680" s="182"/>
      <c r="G680" s="182"/>
      <c r="H680" s="182"/>
      <c r="I680" s="3"/>
      <c r="J680" s="4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42"/>
      <c r="B681" s="182"/>
      <c r="C681" s="182"/>
      <c r="D681" s="182"/>
      <c r="E681" s="182"/>
      <c r="F681" s="182"/>
      <c r="G681" s="182"/>
      <c r="H681" s="182"/>
      <c r="I681" s="3"/>
      <c r="J681" s="4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42"/>
      <c r="B682" s="182"/>
      <c r="C682" s="182"/>
      <c r="D682" s="182"/>
      <c r="E682" s="182"/>
      <c r="F682" s="182"/>
      <c r="G682" s="182"/>
      <c r="H682" s="182"/>
      <c r="I682" s="3"/>
      <c r="J682" s="4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42"/>
      <c r="B683" s="182"/>
      <c r="C683" s="182"/>
      <c r="D683" s="182"/>
      <c r="E683" s="182"/>
      <c r="F683" s="182"/>
      <c r="G683" s="182"/>
      <c r="H683" s="182"/>
      <c r="I683" s="3"/>
      <c r="J683" s="4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42"/>
      <c r="B684" s="182"/>
      <c r="C684" s="182"/>
      <c r="D684" s="182"/>
      <c r="E684" s="182"/>
      <c r="F684" s="182"/>
      <c r="G684" s="182"/>
      <c r="H684" s="182"/>
      <c r="I684" s="3"/>
      <c r="J684" s="4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42"/>
      <c r="B685" s="182"/>
      <c r="C685" s="182"/>
      <c r="D685" s="182"/>
      <c r="E685" s="182"/>
      <c r="F685" s="182"/>
      <c r="G685" s="182"/>
      <c r="H685" s="182"/>
      <c r="I685" s="3"/>
      <c r="J685" s="4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42"/>
      <c r="B686" s="182"/>
      <c r="C686" s="182"/>
      <c r="D686" s="182"/>
      <c r="E686" s="182"/>
      <c r="F686" s="182"/>
      <c r="G686" s="182"/>
      <c r="H686" s="182"/>
      <c r="I686" s="3"/>
      <c r="J686" s="4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42"/>
      <c r="B687" s="182"/>
      <c r="C687" s="182"/>
      <c r="D687" s="182"/>
      <c r="E687" s="182"/>
      <c r="F687" s="182"/>
      <c r="G687" s="182"/>
      <c r="H687" s="182"/>
      <c r="I687" s="3"/>
      <c r="J687" s="4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42"/>
      <c r="B688" s="182"/>
      <c r="C688" s="182"/>
      <c r="D688" s="182"/>
      <c r="E688" s="182"/>
      <c r="F688" s="182"/>
      <c r="G688" s="182"/>
      <c r="H688" s="182"/>
      <c r="I688" s="3"/>
      <c r="J688" s="4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42"/>
      <c r="B689" s="182"/>
      <c r="C689" s="182"/>
      <c r="D689" s="182"/>
      <c r="E689" s="182"/>
      <c r="F689" s="182"/>
      <c r="G689" s="182"/>
      <c r="H689" s="182"/>
      <c r="I689" s="3"/>
      <c r="J689" s="4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42"/>
      <c r="B690" s="182"/>
      <c r="C690" s="182"/>
      <c r="D690" s="182"/>
      <c r="E690" s="182"/>
      <c r="F690" s="182"/>
      <c r="G690" s="182"/>
      <c r="H690" s="182"/>
      <c r="I690" s="3"/>
      <c r="J690" s="4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42"/>
      <c r="B691" s="182"/>
      <c r="C691" s="182"/>
      <c r="D691" s="182"/>
      <c r="E691" s="182"/>
      <c r="F691" s="182"/>
      <c r="G691" s="182"/>
      <c r="H691" s="182"/>
      <c r="I691" s="3"/>
      <c r="J691" s="4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42"/>
      <c r="B692" s="182"/>
      <c r="C692" s="182"/>
      <c r="D692" s="182"/>
      <c r="E692" s="182"/>
      <c r="F692" s="182"/>
      <c r="G692" s="182"/>
      <c r="H692" s="182"/>
      <c r="I692" s="3"/>
      <c r="J692" s="4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42"/>
      <c r="B693" s="182"/>
      <c r="C693" s="182"/>
      <c r="D693" s="182"/>
      <c r="E693" s="182"/>
      <c r="F693" s="182"/>
      <c r="G693" s="182"/>
      <c r="H693" s="182"/>
      <c r="I693" s="3"/>
      <c r="J693" s="4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42"/>
      <c r="B694" s="182"/>
      <c r="C694" s="182"/>
      <c r="D694" s="182"/>
      <c r="E694" s="182"/>
      <c r="F694" s="182"/>
      <c r="G694" s="182"/>
      <c r="H694" s="182"/>
      <c r="I694" s="3"/>
      <c r="J694" s="4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42"/>
      <c r="B695" s="182"/>
      <c r="C695" s="182"/>
      <c r="D695" s="182"/>
      <c r="E695" s="182"/>
      <c r="F695" s="182"/>
      <c r="G695" s="182"/>
      <c r="H695" s="182"/>
      <c r="I695" s="3"/>
      <c r="J695" s="4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42"/>
      <c r="B696" s="182"/>
      <c r="C696" s="182"/>
      <c r="D696" s="182"/>
      <c r="E696" s="182"/>
      <c r="F696" s="182"/>
      <c r="G696" s="182"/>
      <c r="H696" s="182"/>
      <c r="I696" s="3"/>
      <c r="J696" s="4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42"/>
      <c r="B697" s="182"/>
      <c r="C697" s="182"/>
      <c r="D697" s="182"/>
      <c r="E697" s="182"/>
      <c r="F697" s="182"/>
      <c r="G697" s="182"/>
      <c r="H697" s="182"/>
      <c r="I697" s="3"/>
      <c r="J697" s="4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42"/>
      <c r="B698" s="182"/>
      <c r="C698" s="182"/>
      <c r="D698" s="182"/>
      <c r="E698" s="182"/>
      <c r="F698" s="182"/>
      <c r="G698" s="182"/>
      <c r="H698" s="182"/>
      <c r="I698" s="3"/>
      <c r="J698" s="4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42"/>
      <c r="B699" s="182"/>
      <c r="C699" s="182"/>
      <c r="D699" s="182"/>
      <c r="E699" s="182"/>
      <c r="F699" s="182"/>
      <c r="G699" s="182"/>
      <c r="H699" s="182"/>
      <c r="I699" s="3"/>
      <c r="J699" s="4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42"/>
      <c r="B700" s="182"/>
      <c r="C700" s="182"/>
      <c r="D700" s="182"/>
      <c r="E700" s="182"/>
      <c r="F700" s="182"/>
      <c r="G700" s="182"/>
      <c r="H700" s="182"/>
      <c r="I700" s="3"/>
      <c r="J700" s="4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42"/>
      <c r="B701" s="182"/>
      <c r="C701" s="182"/>
      <c r="D701" s="182"/>
      <c r="E701" s="182"/>
      <c r="F701" s="182"/>
      <c r="G701" s="182"/>
      <c r="H701" s="182"/>
      <c r="I701" s="3"/>
      <c r="J701" s="4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42"/>
      <c r="B702" s="182"/>
      <c r="C702" s="182"/>
      <c r="D702" s="182"/>
      <c r="E702" s="182"/>
      <c r="F702" s="182"/>
      <c r="G702" s="182"/>
      <c r="H702" s="182"/>
      <c r="I702" s="3"/>
      <c r="J702" s="4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42"/>
      <c r="B703" s="182"/>
      <c r="C703" s="182"/>
      <c r="D703" s="182"/>
      <c r="E703" s="182"/>
      <c r="F703" s="182"/>
      <c r="G703" s="182"/>
      <c r="H703" s="182"/>
      <c r="I703" s="3"/>
      <c r="J703" s="4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42"/>
      <c r="B704" s="182"/>
      <c r="C704" s="182"/>
      <c r="D704" s="182"/>
      <c r="E704" s="182"/>
      <c r="F704" s="182"/>
      <c r="G704" s="182"/>
      <c r="H704" s="182"/>
      <c r="I704" s="3"/>
      <c r="J704" s="4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42"/>
      <c r="B705" s="182"/>
      <c r="C705" s="182"/>
      <c r="D705" s="182"/>
      <c r="E705" s="182"/>
      <c r="F705" s="182"/>
      <c r="G705" s="182"/>
      <c r="H705" s="182"/>
      <c r="I705" s="3"/>
      <c r="J705" s="4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42"/>
      <c r="B706" s="182"/>
      <c r="C706" s="182"/>
      <c r="D706" s="182"/>
      <c r="E706" s="182"/>
      <c r="F706" s="182"/>
      <c r="G706" s="182"/>
      <c r="H706" s="182"/>
      <c r="I706" s="3"/>
      <c r="J706" s="4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42"/>
      <c r="B707" s="182"/>
      <c r="C707" s="182"/>
      <c r="D707" s="182"/>
      <c r="E707" s="182"/>
      <c r="F707" s="182"/>
      <c r="G707" s="182"/>
      <c r="H707" s="182"/>
      <c r="I707" s="3"/>
      <c r="J707" s="4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42"/>
      <c r="B708" s="182"/>
      <c r="C708" s="182"/>
      <c r="D708" s="182"/>
      <c r="E708" s="182"/>
      <c r="F708" s="182"/>
      <c r="G708" s="182"/>
      <c r="H708" s="182"/>
      <c r="I708" s="3"/>
      <c r="J708" s="4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42"/>
      <c r="B709" s="182"/>
      <c r="C709" s="182"/>
      <c r="D709" s="182"/>
      <c r="E709" s="182"/>
      <c r="F709" s="182"/>
      <c r="G709" s="182"/>
      <c r="H709" s="182"/>
      <c r="I709" s="3"/>
      <c r="J709" s="4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42"/>
      <c r="B710" s="182"/>
      <c r="C710" s="182"/>
      <c r="D710" s="182"/>
      <c r="E710" s="182"/>
      <c r="F710" s="182"/>
      <c r="G710" s="182"/>
      <c r="H710" s="182"/>
      <c r="I710" s="3"/>
      <c r="J710" s="4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42"/>
      <c r="B711" s="182"/>
      <c r="C711" s="182"/>
      <c r="D711" s="182"/>
      <c r="E711" s="182"/>
      <c r="F711" s="182"/>
      <c r="G711" s="182"/>
      <c r="H711" s="182"/>
      <c r="I711" s="3"/>
      <c r="J711" s="4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42"/>
      <c r="B712" s="182"/>
      <c r="C712" s="182"/>
      <c r="D712" s="182"/>
      <c r="E712" s="182"/>
      <c r="F712" s="182"/>
      <c r="G712" s="182"/>
      <c r="H712" s="182"/>
      <c r="I712" s="3"/>
      <c r="J712" s="4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42"/>
      <c r="B713" s="182"/>
      <c r="C713" s="182"/>
      <c r="D713" s="182"/>
      <c r="E713" s="182"/>
      <c r="F713" s="182"/>
      <c r="G713" s="182"/>
      <c r="H713" s="182"/>
      <c r="I713" s="3"/>
      <c r="J713" s="4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42"/>
      <c r="B714" s="182"/>
      <c r="C714" s="182"/>
      <c r="D714" s="182"/>
      <c r="E714" s="182"/>
      <c r="F714" s="182"/>
      <c r="G714" s="182"/>
      <c r="H714" s="182"/>
      <c r="I714" s="3"/>
      <c r="J714" s="4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42"/>
      <c r="B715" s="182"/>
      <c r="C715" s="182"/>
      <c r="D715" s="182"/>
      <c r="E715" s="182"/>
      <c r="F715" s="182"/>
      <c r="G715" s="182"/>
      <c r="H715" s="182"/>
      <c r="I715" s="3"/>
      <c r="J715" s="4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42"/>
      <c r="B716" s="182"/>
      <c r="C716" s="182"/>
      <c r="D716" s="182"/>
      <c r="E716" s="182"/>
      <c r="F716" s="182"/>
      <c r="G716" s="182"/>
      <c r="H716" s="182"/>
      <c r="I716" s="3"/>
      <c r="J716" s="4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42"/>
      <c r="B717" s="182"/>
      <c r="C717" s="182"/>
      <c r="D717" s="182"/>
      <c r="E717" s="182"/>
      <c r="F717" s="182"/>
      <c r="G717" s="182"/>
      <c r="H717" s="182"/>
      <c r="I717" s="3"/>
      <c r="J717" s="4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42"/>
      <c r="B718" s="182"/>
      <c r="C718" s="182"/>
      <c r="D718" s="182"/>
      <c r="E718" s="182"/>
      <c r="F718" s="182"/>
      <c r="G718" s="182"/>
      <c r="H718" s="182"/>
      <c r="I718" s="3"/>
      <c r="J718" s="4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42"/>
      <c r="B719" s="182"/>
      <c r="C719" s="182"/>
      <c r="D719" s="182"/>
      <c r="E719" s="182"/>
      <c r="F719" s="182"/>
      <c r="G719" s="182"/>
      <c r="H719" s="182"/>
      <c r="I719" s="3"/>
      <c r="J719" s="4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42"/>
      <c r="B720" s="182"/>
      <c r="C720" s="182"/>
      <c r="D720" s="182"/>
      <c r="E720" s="182"/>
      <c r="F720" s="182"/>
      <c r="G720" s="182"/>
      <c r="H720" s="182"/>
      <c r="I720" s="3"/>
      <c r="J720" s="4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42"/>
      <c r="B721" s="182"/>
      <c r="C721" s="182"/>
      <c r="D721" s="182"/>
      <c r="E721" s="182"/>
      <c r="F721" s="182"/>
      <c r="G721" s="182"/>
      <c r="H721" s="182"/>
      <c r="I721" s="3"/>
      <c r="J721" s="4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42"/>
      <c r="B722" s="182"/>
      <c r="C722" s="182"/>
      <c r="D722" s="182"/>
      <c r="E722" s="182"/>
      <c r="F722" s="182"/>
      <c r="G722" s="182"/>
      <c r="H722" s="182"/>
      <c r="I722" s="3"/>
      <c r="J722" s="4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42"/>
      <c r="B723" s="182"/>
      <c r="C723" s="182"/>
      <c r="D723" s="182"/>
      <c r="E723" s="182"/>
      <c r="F723" s="182"/>
      <c r="G723" s="182"/>
      <c r="H723" s="182"/>
      <c r="I723" s="3"/>
      <c r="J723" s="4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42"/>
      <c r="B724" s="182"/>
      <c r="C724" s="182"/>
      <c r="D724" s="182"/>
      <c r="E724" s="182"/>
      <c r="F724" s="182"/>
      <c r="G724" s="182"/>
      <c r="H724" s="182"/>
      <c r="I724" s="3"/>
      <c r="J724" s="4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42"/>
      <c r="B725" s="182"/>
      <c r="C725" s="182"/>
      <c r="D725" s="182"/>
      <c r="E725" s="182"/>
      <c r="F725" s="182"/>
      <c r="G725" s="182"/>
      <c r="H725" s="182"/>
      <c r="I725" s="3"/>
      <c r="J725" s="4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42"/>
      <c r="B726" s="182"/>
      <c r="C726" s="182"/>
      <c r="D726" s="182"/>
      <c r="E726" s="182"/>
      <c r="F726" s="182"/>
      <c r="G726" s="182"/>
      <c r="H726" s="182"/>
      <c r="I726" s="3"/>
      <c r="J726" s="4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42"/>
      <c r="B727" s="182"/>
      <c r="C727" s="182"/>
      <c r="D727" s="182"/>
      <c r="E727" s="182"/>
      <c r="F727" s="182"/>
      <c r="G727" s="182"/>
      <c r="H727" s="182"/>
      <c r="I727" s="3"/>
      <c r="J727" s="4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42"/>
      <c r="B728" s="182"/>
      <c r="C728" s="182"/>
      <c r="D728" s="182"/>
      <c r="E728" s="182"/>
      <c r="F728" s="182"/>
      <c r="G728" s="182"/>
      <c r="H728" s="182"/>
      <c r="I728" s="3"/>
      <c r="J728" s="4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42"/>
      <c r="B729" s="182"/>
      <c r="C729" s="182"/>
      <c r="D729" s="182"/>
      <c r="E729" s="182"/>
      <c r="F729" s="182"/>
      <c r="G729" s="182"/>
      <c r="H729" s="182"/>
      <c r="I729" s="3"/>
      <c r="J729" s="4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42"/>
      <c r="B730" s="182"/>
      <c r="C730" s="182"/>
      <c r="D730" s="182"/>
      <c r="E730" s="182"/>
      <c r="F730" s="182"/>
      <c r="G730" s="182"/>
      <c r="H730" s="182"/>
      <c r="I730" s="3"/>
      <c r="J730" s="4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42"/>
      <c r="B731" s="182"/>
      <c r="C731" s="182"/>
      <c r="D731" s="182"/>
      <c r="E731" s="182"/>
      <c r="F731" s="182"/>
      <c r="G731" s="182"/>
      <c r="H731" s="182"/>
      <c r="I731" s="3"/>
      <c r="J731" s="4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42"/>
      <c r="B732" s="182"/>
      <c r="C732" s="182"/>
      <c r="D732" s="182"/>
      <c r="E732" s="182"/>
      <c r="F732" s="182"/>
      <c r="G732" s="182"/>
      <c r="H732" s="182"/>
      <c r="I732" s="3"/>
      <c r="J732" s="4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42"/>
      <c r="B733" s="182"/>
      <c r="C733" s="182"/>
      <c r="D733" s="182"/>
      <c r="E733" s="182"/>
      <c r="F733" s="182"/>
      <c r="G733" s="182"/>
      <c r="H733" s="182"/>
      <c r="I733" s="3"/>
      <c r="J733" s="4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42"/>
      <c r="B734" s="182"/>
      <c r="C734" s="182"/>
      <c r="D734" s="182"/>
      <c r="E734" s="182"/>
      <c r="F734" s="182"/>
      <c r="G734" s="182"/>
      <c r="H734" s="182"/>
      <c r="I734" s="3"/>
      <c r="J734" s="4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42"/>
      <c r="B735" s="182"/>
      <c r="C735" s="182"/>
      <c r="D735" s="182"/>
      <c r="E735" s="182"/>
      <c r="F735" s="182"/>
      <c r="G735" s="182"/>
      <c r="H735" s="182"/>
      <c r="I735" s="3"/>
      <c r="J735" s="4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42"/>
      <c r="B736" s="182"/>
      <c r="C736" s="182"/>
      <c r="D736" s="182"/>
      <c r="E736" s="182"/>
      <c r="F736" s="182"/>
      <c r="G736" s="182"/>
      <c r="H736" s="182"/>
      <c r="I736" s="3"/>
      <c r="J736" s="4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42"/>
      <c r="B737" s="182"/>
      <c r="C737" s="182"/>
      <c r="D737" s="182"/>
      <c r="E737" s="182"/>
      <c r="F737" s="182"/>
      <c r="G737" s="182"/>
      <c r="H737" s="182"/>
      <c r="I737" s="3"/>
      <c r="J737" s="4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42"/>
      <c r="B738" s="182"/>
      <c r="C738" s="182"/>
      <c r="D738" s="182"/>
      <c r="E738" s="182"/>
      <c r="F738" s="182"/>
      <c r="G738" s="182"/>
      <c r="H738" s="182"/>
      <c r="I738" s="3"/>
      <c r="J738" s="4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42"/>
      <c r="B739" s="182"/>
      <c r="C739" s="182"/>
      <c r="D739" s="182"/>
      <c r="E739" s="182"/>
      <c r="F739" s="182"/>
      <c r="G739" s="182"/>
      <c r="H739" s="182"/>
      <c r="I739" s="3"/>
      <c r="J739" s="4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42"/>
      <c r="B740" s="182"/>
      <c r="C740" s="182"/>
      <c r="D740" s="182"/>
      <c r="E740" s="182"/>
      <c r="F740" s="182"/>
      <c r="G740" s="182"/>
      <c r="H740" s="182"/>
      <c r="I740" s="3"/>
      <c r="J740" s="4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42"/>
      <c r="B741" s="182"/>
      <c r="C741" s="182"/>
      <c r="D741" s="182"/>
      <c r="E741" s="182"/>
      <c r="F741" s="182"/>
      <c r="G741" s="182"/>
      <c r="H741" s="182"/>
      <c r="I741" s="3"/>
      <c r="J741" s="4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42"/>
      <c r="B742" s="182"/>
      <c r="C742" s="182"/>
      <c r="D742" s="182"/>
      <c r="E742" s="182"/>
      <c r="F742" s="182"/>
      <c r="G742" s="182"/>
      <c r="H742" s="182"/>
      <c r="I742" s="3"/>
      <c r="J742" s="4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42"/>
      <c r="B743" s="182"/>
      <c r="C743" s="182"/>
      <c r="D743" s="182"/>
      <c r="E743" s="182"/>
      <c r="F743" s="182"/>
      <c r="G743" s="182"/>
      <c r="H743" s="182"/>
      <c r="I743" s="3"/>
      <c r="J743" s="4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42"/>
      <c r="B744" s="182"/>
      <c r="C744" s="182"/>
      <c r="D744" s="182"/>
      <c r="E744" s="182"/>
      <c r="F744" s="182"/>
      <c r="G744" s="182"/>
      <c r="H744" s="182"/>
      <c r="I744" s="3"/>
      <c r="J744" s="4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42"/>
      <c r="B745" s="182"/>
      <c r="C745" s="182"/>
      <c r="D745" s="182"/>
      <c r="E745" s="182"/>
      <c r="F745" s="182"/>
      <c r="G745" s="182"/>
      <c r="H745" s="182"/>
      <c r="I745" s="3"/>
      <c r="J745" s="4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42"/>
      <c r="B746" s="182"/>
      <c r="C746" s="182"/>
      <c r="D746" s="182"/>
      <c r="E746" s="182"/>
      <c r="F746" s="182"/>
      <c r="G746" s="182"/>
      <c r="H746" s="182"/>
      <c r="I746" s="3"/>
      <c r="J746" s="4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42"/>
      <c r="B747" s="182"/>
      <c r="C747" s="182"/>
      <c r="D747" s="182"/>
      <c r="E747" s="182"/>
      <c r="F747" s="182"/>
      <c r="G747" s="182"/>
      <c r="H747" s="182"/>
      <c r="I747" s="3"/>
      <c r="J747" s="4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42"/>
      <c r="B748" s="182"/>
      <c r="C748" s="182"/>
      <c r="D748" s="182"/>
      <c r="E748" s="182"/>
      <c r="F748" s="182"/>
      <c r="G748" s="182"/>
      <c r="H748" s="182"/>
      <c r="I748" s="3"/>
      <c r="J748" s="4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42"/>
      <c r="B749" s="182"/>
      <c r="C749" s="182"/>
      <c r="D749" s="182"/>
      <c r="E749" s="182"/>
      <c r="F749" s="182"/>
      <c r="G749" s="182"/>
      <c r="H749" s="182"/>
      <c r="I749" s="3"/>
      <c r="J749" s="4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42"/>
      <c r="B750" s="182"/>
      <c r="C750" s="182"/>
      <c r="D750" s="182"/>
      <c r="E750" s="182"/>
      <c r="F750" s="182"/>
      <c r="G750" s="182"/>
      <c r="H750" s="182"/>
      <c r="I750" s="3"/>
      <c r="J750" s="4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42"/>
      <c r="B751" s="182"/>
      <c r="C751" s="182"/>
      <c r="D751" s="182"/>
      <c r="E751" s="182"/>
      <c r="F751" s="182"/>
      <c r="G751" s="182"/>
      <c r="H751" s="182"/>
      <c r="I751" s="3"/>
      <c r="J751" s="4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42"/>
      <c r="B752" s="182"/>
      <c r="C752" s="182"/>
      <c r="D752" s="182"/>
      <c r="E752" s="182"/>
      <c r="F752" s="182"/>
      <c r="G752" s="182"/>
      <c r="H752" s="182"/>
      <c r="I752" s="3"/>
      <c r="J752" s="4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42"/>
      <c r="B753" s="182"/>
      <c r="C753" s="182"/>
      <c r="D753" s="182"/>
      <c r="E753" s="182"/>
      <c r="F753" s="182"/>
      <c r="G753" s="182"/>
      <c r="H753" s="182"/>
      <c r="I753" s="3"/>
      <c r="J753" s="4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42"/>
      <c r="B754" s="182"/>
      <c r="C754" s="182"/>
      <c r="D754" s="182"/>
      <c r="E754" s="182"/>
      <c r="F754" s="182"/>
      <c r="G754" s="182"/>
      <c r="H754" s="182"/>
      <c r="I754" s="3"/>
      <c r="J754" s="4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42"/>
      <c r="B755" s="182"/>
      <c r="C755" s="182"/>
      <c r="D755" s="182"/>
      <c r="E755" s="182"/>
      <c r="F755" s="182"/>
      <c r="G755" s="182"/>
      <c r="H755" s="182"/>
      <c r="I755" s="3"/>
      <c r="J755" s="4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42"/>
      <c r="B756" s="182"/>
      <c r="C756" s="182"/>
      <c r="D756" s="182"/>
      <c r="E756" s="182"/>
      <c r="F756" s="182"/>
      <c r="G756" s="182"/>
      <c r="H756" s="182"/>
      <c r="I756" s="3"/>
      <c r="J756" s="4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42"/>
      <c r="B757" s="182"/>
      <c r="C757" s="182"/>
      <c r="D757" s="182"/>
      <c r="E757" s="182"/>
      <c r="F757" s="182"/>
      <c r="G757" s="182"/>
      <c r="H757" s="182"/>
      <c r="I757" s="3"/>
      <c r="J757" s="4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42"/>
      <c r="B758" s="182"/>
      <c r="C758" s="182"/>
      <c r="D758" s="182"/>
      <c r="E758" s="182"/>
      <c r="F758" s="182"/>
      <c r="G758" s="182"/>
      <c r="H758" s="182"/>
      <c r="I758" s="3"/>
      <c r="J758" s="4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42"/>
      <c r="B759" s="182"/>
      <c r="C759" s="182"/>
      <c r="D759" s="182"/>
      <c r="E759" s="182"/>
      <c r="F759" s="182"/>
      <c r="G759" s="182"/>
      <c r="H759" s="182"/>
      <c r="I759" s="3"/>
      <c r="J759" s="4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42"/>
      <c r="B760" s="182"/>
      <c r="C760" s="182"/>
      <c r="D760" s="182"/>
      <c r="E760" s="182"/>
      <c r="F760" s="182"/>
      <c r="G760" s="182"/>
      <c r="H760" s="182"/>
      <c r="I760" s="3"/>
      <c r="J760" s="4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42"/>
      <c r="B761" s="182"/>
      <c r="C761" s="182"/>
      <c r="D761" s="182"/>
      <c r="E761" s="182"/>
      <c r="F761" s="182"/>
      <c r="G761" s="182"/>
      <c r="H761" s="182"/>
      <c r="I761" s="3"/>
      <c r="J761" s="4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42"/>
      <c r="B762" s="182"/>
      <c r="C762" s="182"/>
      <c r="D762" s="182"/>
      <c r="E762" s="182"/>
      <c r="F762" s="182"/>
      <c r="G762" s="182"/>
      <c r="H762" s="182"/>
      <c r="I762" s="3"/>
      <c r="J762" s="4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42"/>
      <c r="B763" s="182"/>
      <c r="C763" s="182"/>
      <c r="D763" s="182"/>
      <c r="E763" s="182"/>
      <c r="F763" s="182"/>
      <c r="G763" s="182"/>
      <c r="H763" s="182"/>
      <c r="I763" s="3"/>
      <c r="J763" s="4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42"/>
      <c r="B764" s="182"/>
      <c r="C764" s="182"/>
      <c r="D764" s="182"/>
      <c r="E764" s="182"/>
      <c r="F764" s="182"/>
      <c r="G764" s="182"/>
      <c r="H764" s="182"/>
      <c r="I764" s="3"/>
      <c r="J764" s="4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42"/>
      <c r="B765" s="182"/>
      <c r="C765" s="182"/>
      <c r="D765" s="182"/>
      <c r="E765" s="182"/>
      <c r="F765" s="182"/>
      <c r="G765" s="182"/>
      <c r="H765" s="182"/>
      <c r="I765" s="3"/>
      <c r="J765" s="4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42"/>
      <c r="B766" s="182"/>
      <c r="C766" s="182"/>
      <c r="D766" s="182"/>
      <c r="E766" s="182"/>
      <c r="F766" s="182"/>
      <c r="G766" s="182"/>
      <c r="H766" s="182"/>
      <c r="I766" s="3"/>
      <c r="J766" s="4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42"/>
      <c r="B767" s="182"/>
      <c r="C767" s="182"/>
      <c r="D767" s="182"/>
      <c r="E767" s="182"/>
      <c r="F767" s="182"/>
      <c r="G767" s="182"/>
      <c r="H767" s="182"/>
      <c r="I767" s="3"/>
      <c r="J767" s="4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42"/>
      <c r="B768" s="182"/>
      <c r="C768" s="182"/>
      <c r="D768" s="182"/>
      <c r="E768" s="182"/>
      <c r="F768" s="182"/>
      <c r="G768" s="182"/>
      <c r="H768" s="182"/>
      <c r="I768" s="3"/>
      <c r="J768" s="4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42"/>
      <c r="B769" s="182"/>
      <c r="C769" s="182"/>
      <c r="D769" s="182"/>
      <c r="E769" s="182"/>
      <c r="F769" s="182"/>
      <c r="G769" s="182"/>
      <c r="H769" s="182"/>
      <c r="I769" s="3"/>
      <c r="J769" s="4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42"/>
      <c r="B770" s="182"/>
      <c r="C770" s="182"/>
      <c r="D770" s="182"/>
      <c r="E770" s="182"/>
      <c r="F770" s="182"/>
      <c r="G770" s="182"/>
      <c r="H770" s="182"/>
      <c r="I770" s="3"/>
      <c r="J770" s="4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42"/>
      <c r="B771" s="182"/>
      <c r="C771" s="182"/>
      <c r="D771" s="182"/>
      <c r="E771" s="182"/>
      <c r="F771" s="182"/>
      <c r="G771" s="182"/>
      <c r="H771" s="182"/>
      <c r="I771" s="3"/>
      <c r="J771" s="4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42"/>
      <c r="B772" s="182"/>
      <c r="C772" s="182"/>
      <c r="D772" s="182"/>
      <c r="E772" s="182"/>
      <c r="F772" s="182"/>
      <c r="G772" s="182"/>
      <c r="H772" s="182"/>
      <c r="I772" s="3"/>
      <c r="J772" s="4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42"/>
      <c r="B773" s="182"/>
      <c r="C773" s="182"/>
      <c r="D773" s="182"/>
      <c r="E773" s="182"/>
      <c r="F773" s="182"/>
      <c r="G773" s="182"/>
      <c r="H773" s="182"/>
      <c r="I773" s="3"/>
      <c r="J773" s="4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42"/>
      <c r="B774" s="182"/>
      <c r="C774" s="182"/>
      <c r="D774" s="182"/>
      <c r="E774" s="182"/>
      <c r="F774" s="182"/>
      <c r="G774" s="182"/>
      <c r="H774" s="182"/>
      <c r="I774" s="3"/>
      <c r="J774" s="4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42"/>
      <c r="B775" s="182"/>
      <c r="C775" s="182"/>
      <c r="D775" s="182"/>
      <c r="E775" s="182"/>
      <c r="F775" s="182"/>
      <c r="G775" s="182"/>
      <c r="H775" s="182"/>
      <c r="I775" s="3"/>
      <c r="J775" s="4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42"/>
      <c r="B776" s="182"/>
      <c r="C776" s="182"/>
      <c r="D776" s="182"/>
      <c r="E776" s="182"/>
      <c r="F776" s="182"/>
      <c r="G776" s="182"/>
      <c r="H776" s="182"/>
      <c r="I776" s="3"/>
      <c r="J776" s="4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42"/>
      <c r="B777" s="182"/>
      <c r="C777" s="182"/>
      <c r="D777" s="182"/>
      <c r="E777" s="182"/>
      <c r="F777" s="182"/>
      <c r="G777" s="182"/>
      <c r="H777" s="182"/>
      <c r="I777" s="3"/>
      <c r="J777" s="4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42"/>
      <c r="B778" s="182"/>
      <c r="C778" s="182"/>
      <c r="D778" s="182"/>
      <c r="E778" s="182"/>
      <c r="F778" s="182"/>
      <c r="G778" s="182"/>
      <c r="H778" s="182"/>
      <c r="I778" s="3"/>
      <c r="J778" s="4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42"/>
      <c r="B779" s="182"/>
      <c r="C779" s="182"/>
      <c r="D779" s="182"/>
      <c r="E779" s="182"/>
      <c r="F779" s="182"/>
      <c r="G779" s="182"/>
      <c r="H779" s="182"/>
      <c r="I779" s="3"/>
      <c r="J779" s="4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42"/>
      <c r="B780" s="182"/>
      <c r="C780" s="182"/>
      <c r="D780" s="182"/>
      <c r="E780" s="182"/>
      <c r="F780" s="182"/>
      <c r="G780" s="182"/>
      <c r="H780" s="182"/>
      <c r="I780" s="3"/>
      <c r="J780" s="4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42"/>
      <c r="B781" s="182"/>
      <c r="C781" s="182"/>
      <c r="D781" s="182"/>
      <c r="E781" s="182"/>
      <c r="F781" s="182"/>
      <c r="G781" s="182"/>
      <c r="H781" s="182"/>
      <c r="I781" s="3"/>
      <c r="J781" s="4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42"/>
      <c r="B782" s="182"/>
      <c r="C782" s="182"/>
      <c r="D782" s="182"/>
      <c r="E782" s="182"/>
      <c r="F782" s="182"/>
      <c r="G782" s="182"/>
      <c r="H782" s="182"/>
      <c r="I782" s="3"/>
      <c r="J782" s="4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42"/>
      <c r="B783" s="182"/>
      <c r="C783" s="182"/>
      <c r="D783" s="182"/>
      <c r="E783" s="182"/>
      <c r="F783" s="182"/>
      <c r="G783" s="182"/>
      <c r="H783" s="182"/>
      <c r="I783" s="3"/>
      <c r="J783" s="4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42"/>
      <c r="B784" s="182"/>
      <c r="C784" s="182"/>
      <c r="D784" s="182"/>
      <c r="E784" s="182"/>
      <c r="F784" s="182"/>
      <c r="G784" s="182"/>
      <c r="H784" s="182"/>
      <c r="I784" s="3"/>
      <c r="J784" s="4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42"/>
      <c r="B785" s="182"/>
      <c r="C785" s="182"/>
      <c r="D785" s="182"/>
      <c r="E785" s="182"/>
      <c r="F785" s="182"/>
      <c r="G785" s="182"/>
      <c r="H785" s="182"/>
      <c r="I785" s="3"/>
      <c r="J785" s="4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42"/>
      <c r="B786" s="182"/>
      <c r="C786" s="182"/>
      <c r="D786" s="182"/>
      <c r="E786" s="182"/>
      <c r="F786" s="182"/>
      <c r="G786" s="182"/>
      <c r="H786" s="182"/>
      <c r="I786" s="3"/>
      <c r="J786" s="4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42"/>
      <c r="B787" s="182"/>
      <c r="C787" s="182"/>
      <c r="D787" s="182"/>
      <c r="E787" s="182"/>
      <c r="F787" s="182"/>
      <c r="G787" s="182"/>
      <c r="H787" s="182"/>
      <c r="I787" s="3"/>
      <c r="J787" s="4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42"/>
      <c r="B788" s="182"/>
      <c r="C788" s="182"/>
      <c r="D788" s="182"/>
      <c r="E788" s="182"/>
      <c r="F788" s="182"/>
      <c r="G788" s="182"/>
      <c r="H788" s="182"/>
      <c r="I788" s="3"/>
      <c r="J788" s="4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42"/>
      <c r="B789" s="182"/>
      <c r="C789" s="182"/>
      <c r="D789" s="182"/>
      <c r="E789" s="182"/>
      <c r="F789" s="182"/>
      <c r="G789" s="182"/>
      <c r="H789" s="182"/>
      <c r="I789" s="3"/>
      <c r="J789" s="4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42"/>
      <c r="B790" s="182"/>
      <c r="C790" s="182"/>
      <c r="D790" s="182"/>
      <c r="E790" s="182"/>
      <c r="F790" s="182"/>
      <c r="G790" s="182"/>
      <c r="H790" s="182"/>
      <c r="I790" s="3"/>
      <c r="J790" s="4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42"/>
      <c r="B791" s="182"/>
      <c r="C791" s="182"/>
      <c r="D791" s="182"/>
      <c r="E791" s="182"/>
      <c r="F791" s="182"/>
      <c r="G791" s="182"/>
      <c r="H791" s="182"/>
      <c r="I791" s="3"/>
      <c r="J791" s="4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42"/>
      <c r="B792" s="182"/>
      <c r="C792" s="182"/>
      <c r="D792" s="182"/>
      <c r="E792" s="182"/>
      <c r="F792" s="182"/>
      <c r="G792" s="182"/>
      <c r="H792" s="182"/>
      <c r="I792" s="3"/>
      <c r="J792" s="4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42"/>
      <c r="B793" s="182"/>
      <c r="C793" s="182"/>
      <c r="D793" s="182"/>
      <c r="E793" s="182"/>
      <c r="F793" s="182"/>
      <c r="G793" s="182"/>
      <c r="H793" s="182"/>
      <c r="I793" s="3"/>
      <c r="J793" s="4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42"/>
      <c r="B794" s="182"/>
      <c r="C794" s="182"/>
      <c r="D794" s="182"/>
      <c r="E794" s="182"/>
      <c r="F794" s="182"/>
      <c r="G794" s="182"/>
      <c r="H794" s="182"/>
      <c r="I794" s="3"/>
      <c r="J794" s="4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42"/>
      <c r="B795" s="182"/>
      <c r="C795" s="182"/>
      <c r="D795" s="182"/>
      <c r="E795" s="182"/>
      <c r="F795" s="182"/>
      <c r="G795" s="182"/>
      <c r="H795" s="182"/>
      <c r="I795" s="3"/>
      <c r="J795" s="4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42"/>
      <c r="B796" s="182"/>
      <c r="C796" s="182"/>
      <c r="D796" s="182"/>
      <c r="E796" s="182"/>
      <c r="F796" s="182"/>
      <c r="G796" s="182"/>
      <c r="H796" s="182"/>
      <c r="I796" s="3"/>
      <c r="J796" s="4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42"/>
      <c r="B797" s="182"/>
      <c r="C797" s="182"/>
      <c r="D797" s="182"/>
      <c r="E797" s="182"/>
      <c r="F797" s="182"/>
      <c r="G797" s="182"/>
      <c r="H797" s="182"/>
      <c r="I797" s="3"/>
      <c r="J797" s="4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42"/>
      <c r="B798" s="182"/>
      <c r="C798" s="182"/>
      <c r="D798" s="182"/>
      <c r="E798" s="182"/>
      <c r="F798" s="182"/>
      <c r="G798" s="182"/>
      <c r="H798" s="182"/>
      <c r="I798" s="3"/>
      <c r="J798" s="4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42"/>
      <c r="B799" s="182"/>
      <c r="C799" s="182"/>
      <c r="D799" s="182"/>
      <c r="E799" s="182"/>
      <c r="F799" s="182"/>
      <c r="G799" s="182"/>
      <c r="H799" s="182"/>
      <c r="I799" s="3"/>
      <c r="J799" s="4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42"/>
      <c r="B800" s="182"/>
      <c r="C800" s="182"/>
      <c r="D800" s="182"/>
      <c r="E800" s="182"/>
      <c r="F800" s="182"/>
      <c r="G800" s="182"/>
      <c r="H800" s="182"/>
      <c r="I800" s="3"/>
      <c r="J800" s="4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42"/>
      <c r="B801" s="182"/>
      <c r="C801" s="182"/>
      <c r="D801" s="182"/>
      <c r="E801" s="182"/>
      <c r="F801" s="182"/>
      <c r="G801" s="182"/>
      <c r="H801" s="182"/>
      <c r="I801" s="3"/>
      <c r="J801" s="4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42"/>
      <c r="B802" s="182"/>
      <c r="C802" s="182"/>
      <c r="D802" s="182"/>
      <c r="E802" s="182"/>
      <c r="F802" s="182"/>
      <c r="G802" s="182"/>
      <c r="H802" s="182"/>
      <c r="I802" s="3"/>
      <c r="J802" s="4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42"/>
      <c r="B803" s="182"/>
      <c r="C803" s="182"/>
      <c r="D803" s="182"/>
      <c r="E803" s="182"/>
      <c r="F803" s="182"/>
      <c r="G803" s="182"/>
      <c r="H803" s="182"/>
      <c r="I803" s="3"/>
      <c r="J803" s="4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42"/>
      <c r="B804" s="182"/>
      <c r="C804" s="182"/>
      <c r="D804" s="182"/>
      <c r="E804" s="182"/>
      <c r="F804" s="182"/>
      <c r="G804" s="182"/>
      <c r="H804" s="182"/>
      <c r="I804" s="3"/>
      <c r="J804" s="4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42"/>
      <c r="B805" s="182"/>
      <c r="C805" s="182"/>
      <c r="D805" s="182"/>
      <c r="E805" s="182"/>
      <c r="F805" s="182"/>
      <c r="G805" s="182"/>
      <c r="H805" s="182"/>
      <c r="I805" s="3"/>
      <c r="J805" s="4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42"/>
      <c r="B806" s="182"/>
      <c r="C806" s="182"/>
      <c r="D806" s="182"/>
      <c r="E806" s="182"/>
      <c r="F806" s="182"/>
      <c r="G806" s="182"/>
      <c r="H806" s="182"/>
      <c r="I806" s="3"/>
      <c r="J806" s="4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42"/>
      <c r="B807" s="182"/>
      <c r="C807" s="182"/>
      <c r="D807" s="182"/>
      <c r="E807" s="182"/>
      <c r="F807" s="182"/>
      <c r="G807" s="182"/>
      <c r="H807" s="182"/>
      <c r="I807" s="3"/>
      <c r="J807" s="4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42"/>
      <c r="B808" s="182"/>
      <c r="C808" s="182"/>
      <c r="D808" s="182"/>
      <c r="E808" s="182"/>
      <c r="F808" s="182"/>
      <c r="G808" s="182"/>
      <c r="H808" s="182"/>
      <c r="I808" s="3"/>
      <c r="J808" s="4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42"/>
      <c r="B809" s="182"/>
      <c r="C809" s="182"/>
      <c r="D809" s="182"/>
      <c r="E809" s="182"/>
      <c r="F809" s="182"/>
      <c r="G809" s="182"/>
      <c r="H809" s="182"/>
      <c r="I809" s="3"/>
      <c r="J809" s="4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42"/>
      <c r="B810" s="182"/>
      <c r="C810" s="182"/>
      <c r="D810" s="182"/>
      <c r="E810" s="182"/>
      <c r="F810" s="182"/>
      <c r="G810" s="182"/>
      <c r="H810" s="182"/>
      <c r="I810" s="3"/>
      <c r="J810" s="4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42"/>
      <c r="B811" s="182"/>
      <c r="C811" s="182"/>
      <c r="D811" s="182"/>
      <c r="E811" s="182"/>
      <c r="F811" s="182"/>
      <c r="G811" s="182"/>
      <c r="H811" s="182"/>
      <c r="I811" s="3"/>
      <c r="J811" s="4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42"/>
      <c r="B812" s="182"/>
      <c r="C812" s="182"/>
      <c r="D812" s="182"/>
      <c r="E812" s="182"/>
      <c r="F812" s="182"/>
      <c r="G812" s="182"/>
      <c r="H812" s="182"/>
      <c r="I812" s="3"/>
      <c r="J812" s="4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42"/>
      <c r="B813" s="182"/>
      <c r="C813" s="182"/>
      <c r="D813" s="182"/>
      <c r="E813" s="182"/>
      <c r="F813" s="182"/>
      <c r="G813" s="182"/>
      <c r="H813" s="182"/>
      <c r="I813" s="3"/>
      <c r="J813" s="4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42"/>
      <c r="B814" s="182"/>
      <c r="C814" s="182"/>
      <c r="D814" s="182"/>
      <c r="E814" s="182"/>
      <c r="F814" s="182"/>
      <c r="G814" s="182"/>
      <c r="H814" s="182"/>
      <c r="I814" s="3"/>
      <c r="J814" s="4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42"/>
      <c r="B815" s="182"/>
      <c r="C815" s="182"/>
      <c r="D815" s="182"/>
      <c r="E815" s="182"/>
      <c r="F815" s="182"/>
      <c r="G815" s="182"/>
      <c r="H815" s="182"/>
      <c r="I815" s="3"/>
      <c r="J815" s="4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42"/>
      <c r="B816" s="182"/>
      <c r="C816" s="182"/>
      <c r="D816" s="182"/>
      <c r="E816" s="182"/>
      <c r="F816" s="182"/>
      <c r="G816" s="182"/>
      <c r="H816" s="182"/>
      <c r="I816" s="3"/>
      <c r="J816" s="4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42"/>
      <c r="B817" s="182"/>
      <c r="C817" s="182"/>
      <c r="D817" s="182"/>
      <c r="E817" s="182"/>
      <c r="F817" s="182"/>
      <c r="G817" s="182"/>
      <c r="H817" s="182"/>
      <c r="I817" s="3"/>
      <c r="J817" s="4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42"/>
      <c r="B818" s="182"/>
      <c r="C818" s="182"/>
      <c r="D818" s="182"/>
      <c r="E818" s="182"/>
      <c r="F818" s="182"/>
      <c r="G818" s="182"/>
      <c r="H818" s="182"/>
      <c r="I818" s="3"/>
      <c r="J818" s="4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42"/>
      <c r="B819" s="182"/>
      <c r="C819" s="182"/>
      <c r="D819" s="182"/>
      <c r="E819" s="182"/>
      <c r="F819" s="182"/>
      <c r="G819" s="182"/>
      <c r="H819" s="182"/>
      <c r="I819" s="3"/>
      <c r="J819" s="4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42"/>
      <c r="B820" s="182"/>
      <c r="C820" s="182"/>
      <c r="D820" s="182"/>
      <c r="E820" s="182"/>
      <c r="F820" s="182"/>
      <c r="G820" s="182"/>
      <c r="H820" s="182"/>
      <c r="I820" s="3"/>
      <c r="J820" s="4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42"/>
      <c r="B821" s="182"/>
      <c r="C821" s="182"/>
      <c r="D821" s="182"/>
      <c r="E821" s="182"/>
      <c r="F821" s="182"/>
      <c r="G821" s="182"/>
      <c r="H821" s="182"/>
      <c r="I821" s="3"/>
      <c r="J821" s="4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42"/>
      <c r="B822" s="182"/>
      <c r="C822" s="182"/>
      <c r="D822" s="182"/>
      <c r="E822" s="182"/>
      <c r="F822" s="182"/>
      <c r="G822" s="182"/>
      <c r="H822" s="182"/>
      <c r="I822" s="3"/>
      <c r="J822" s="4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42"/>
      <c r="B823" s="182"/>
      <c r="C823" s="182"/>
      <c r="D823" s="182"/>
      <c r="E823" s="182"/>
      <c r="F823" s="182"/>
      <c r="G823" s="182"/>
      <c r="H823" s="182"/>
      <c r="I823" s="3"/>
      <c r="J823" s="4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42"/>
      <c r="B824" s="182"/>
      <c r="C824" s="182"/>
      <c r="D824" s="182"/>
      <c r="E824" s="182"/>
      <c r="F824" s="182"/>
      <c r="G824" s="182"/>
      <c r="H824" s="182"/>
      <c r="I824" s="3"/>
      <c r="J824" s="4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42"/>
      <c r="B825" s="182"/>
      <c r="C825" s="182"/>
      <c r="D825" s="182"/>
      <c r="E825" s="182"/>
      <c r="F825" s="182"/>
      <c r="G825" s="182"/>
      <c r="H825" s="182"/>
      <c r="I825" s="3"/>
      <c r="J825" s="4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42"/>
      <c r="B826" s="182"/>
      <c r="C826" s="182"/>
      <c r="D826" s="182"/>
      <c r="E826" s="182"/>
      <c r="F826" s="182"/>
      <c r="G826" s="182"/>
      <c r="H826" s="182"/>
      <c r="I826" s="3"/>
      <c r="J826" s="4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42"/>
      <c r="B827" s="182"/>
      <c r="C827" s="182"/>
      <c r="D827" s="182"/>
      <c r="E827" s="182"/>
      <c r="F827" s="182"/>
      <c r="G827" s="182"/>
      <c r="H827" s="182"/>
      <c r="I827" s="3"/>
      <c r="J827" s="4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42"/>
      <c r="B828" s="182"/>
      <c r="C828" s="182"/>
      <c r="D828" s="182"/>
      <c r="E828" s="182"/>
      <c r="F828" s="182"/>
      <c r="G828" s="182"/>
      <c r="H828" s="182"/>
      <c r="I828" s="3"/>
      <c r="J828" s="4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42"/>
      <c r="B829" s="182"/>
      <c r="C829" s="182"/>
      <c r="D829" s="182"/>
      <c r="E829" s="182"/>
      <c r="F829" s="182"/>
      <c r="G829" s="182"/>
      <c r="H829" s="182"/>
      <c r="I829" s="3"/>
      <c r="J829" s="4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42"/>
      <c r="B830" s="182"/>
      <c r="C830" s="182"/>
      <c r="D830" s="182"/>
      <c r="E830" s="182"/>
      <c r="F830" s="182"/>
      <c r="G830" s="182"/>
      <c r="H830" s="182"/>
      <c r="I830" s="3"/>
      <c r="J830" s="4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42"/>
      <c r="B831" s="182"/>
      <c r="C831" s="182"/>
      <c r="D831" s="182"/>
      <c r="E831" s="182"/>
      <c r="F831" s="182"/>
      <c r="G831" s="182"/>
      <c r="H831" s="182"/>
      <c r="I831" s="3"/>
      <c r="J831" s="4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42"/>
      <c r="B832" s="182"/>
      <c r="C832" s="182"/>
      <c r="D832" s="182"/>
      <c r="E832" s="182"/>
      <c r="F832" s="182"/>
      <c r="G832" s="182"/>
      <c r="H832" s="182"/>
      <c r="I832" s="3"/>
      <c r="J832" s="4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42"/>
      <c r="B833" s="182"/>
      <c r="C833" s="182"/>
      <c r="D833" s="182"/>
      <c r="E833" s="182"/>
      <c r="F833" s="182"/>
      <c r="G833" s="182"/>
      <c r="H833" s="182"/>
      <c r="I833" s="3"/>
      <c r="J833" s="4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42"/>
      <c r="B834" s="182"/>
      <c r="C834" s="182"/>
      <c r="D834" s="182"/>
      <c r="E834" s="182"/>
      <c r="F834" s="182"/>
      <c r="G834" s="182"/>
      <c r="H834" s="182"/>
      <c r="I834" s="3"/>
      <c r="J834" s="4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42"/>
      <c r="B835" s="182"/>
      <c r="C835" s="182"/>
      <c r="D835" s="182"/>
      <c r="E835" s="182"/>
      <c r="F835" s="182"/>
      <c r="G835" s="182"/>
      <c r="H835" s="182"/>
      <c r="I835" s="3"/>
      <c r="J835" s="4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42"/>
      <c r="B836" s="182"/>
      <c r="C836" s="182"/>
      <c r="D836" s="182"/>
      <c r="E836" s="182"/>
      <c r="F836" s="182"/>
      <c r="G836" s="182"/>
      <c r="H836" s="182"/>
      <c r="I836" s="3"/>
      <c r="J836" s="4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42"/>
      <c r="B837" s="182"/>
      <c r="C837" s="182"/>
      <c r="D837" s="182"/>
      <c r="E837" s="182"/>
      <c r="F837" s="182"/>
      <c r="G837" s="182"/>
      <c r="H837" s="182"/>
      <c r="I837" s="3"/>
      <c r="J837" s="4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42"/>
      <c r="B838" s="182"/>
      <c r="C838" s="182"/>
      <c r="D838" s="182"/>
      <c r="E838" s="182"/>
      <c r="F838" s="182"/>
      <c r="G838" s="182"/>
      <c r="H838" s="182"/>
      <c r="I838" s="3"/>
      <c r="J838" s="4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42"/>
      <c r="B839" s="182"/>
      <c r="C839" s="182"/>
      <c r="D839" s="182"/>
      <c r="E839" s="182"/>
      <c r="F839" s="182"/>
      <c r="G839" s="182"/>
      <c r="H839" s="182"/>
      <c r="I839" s="3"/>
      <c r="J839" s="4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42"/>
      <c r="B840" s="182"/>
      <c r="C840" s="182"/>
      <c r="D840" s="182"/>
      <c r="E840" s="182"/>
      <c r="F840" s="182"/>
      <c r="G840" s="182"/>
      <c r="H840" s="182"/>
      <c r="I840" s="3"/>
      <c r="J840" s="4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42"/>
      <c r="B841" s="182"/>
      <c r="C841" s="182"/>
      <c r="D841" s="182"/>
      <c r="E841" s="182"/>
      <c r="F841" s="182"/>
      <c r="G841" s="182"/>
      <c r="H841" s="182"/>
      <c r="I841" s="3"/>
      <c r="J841" s="4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42"/>
      <c r="B842" s="182"/>
      <c r="C842" s="182"/>
      <c r="D842" s="182"/>
      <c r="E842" s="182"/>
      <c r="F842" s="182"/>
      <c r="G842" s="182"/>
      <c r="H842" s="182"/>
      <c r="I842" s="3"/>
      <c r="J842" s="4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42"/>
      <c r="B843" s="182"/>
      <c r="C843" s="182"/>
      <c r="D843" s="182"/>
      <c r="E843" s="182"/>
      <c r="F843" s="182"/>
      <c r="G843" s="182"/>
      <c r="H843" s="182"/>
      <c r="I843" s="3"/>
      <c r="J843" s="4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42"/>
      <c r="B844" s="182"/>
      <c r="C844" s="182"/>
      <c r="D844" s="182"/>
      <c r="E844" s="182"/>
      <c r="F844" s="182"/>
      <c r="G844" s="182"/>
      <c r="H844" s="182"/>
      <c r="I844" s="3"/>
      <c r="J844" s="4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42"/>
      <c r="B845" s="182"/>
      <c r="C845" s="182"/>
      <c r="D845" s="182"/>
      <c r="E845" s="182"/>
      <c r="F845" s="182"/>
      <c r="G845" s="182"/>
      <c r="H845" s="182"/>
      <c r="I845" s="3"/>
      <c r="J845" s="4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42"/>
      <c r="B846" s="182"/>
      <c r="C846" s="182"/>
      <c r="D846" s="182"/>
      <c r="E846" s="182"/>
      <c r="F846" s="182"/>
      <c r="G846" s="182"/>
      <c r="H846" s="182"/>
      <c r="I846" s="3"/>
      <c r="J846" s="4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42"/>
      <c r="B847" s="182"/>
      <c r="C847" s="182"/>
      <c r="D847" s="182"/>
      <c r="E847" s="182"/>
      <c r="F847" s="182"/>
      <c r="G847" s="182"/>
      <c r="H847" s="182"/>
      <c r="I847" s="3"/>
      <c r="J847" s="4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42"/>
      <c r="B848" s="182"/>
      <c r="C848" s="182"/>
      <c r="D848" s="182"/>
      <c r="E848" s="182"/>
      <c r="F848" s="182"/>
      <c r="G848" s="182"/>
      <c r="H848" s="182"/>
      <c r="I848" s="3"/>
      <c r="J848" s="4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42"/>
      <c r="B849" s="182"/>
      <c r="C849" s="182"/>
      <c r="D849" s="182"/>
      <c r="E849" s="182"/>
      <c r="F849" s="182"/>
      <c r="G849" s="182"/>
      <c r="H849" s="182"/>
      <c r="I849" s="3"/>
      <c r="J849" s="4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42"/>
      <c r="B850" s="182"/>
      <c r="C850" s="182"/>
      <c r="D850" s="182"/>
      <c r="E850" s="182"/>
      <c r="F850" s="182"/>
      <c r="G850" s="182"/>
      <c r="H850" s="182"/>
      <c r="I850" s="3"/>
      <c r="J850" s="4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42"/>
      <c r="B851" s="182"/>
      <c r="C851" s="182"/>
      <c r="D851" s="182"/>
      <c r="E851" s="182"/>
      <c r="F851" s="182"/>
      <c r="G851" s="182"/>
      <c r="H851" s="182"/>
      <c r="I851" s="3"/>
      <c r="J851" s="4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42"/>
      <c r="B852" s="182"/>
      <c r="C852" s="182"/>
      <c r="D852" s="182"/>
      <c r="E852" s="182"/>
      <c r="F852" s="182"/>
      <c r="G852" s="182"/>
      <c r="H852" s="182"/>
      <c r="I852" s="3"/>
      <c r="J852" s="4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42"/>
      <c r="B853" s="182"/>
      <c r="C853" s="182"/>
      <c r="D853" s="182"/>
      <c r="E853" s="182"/>
      <c r="F853" s="182"/>
      <c r="G853" s="182"/>
      <c r="H853" s="182"/>
      <c r="I853" s="3"/>
      <c r="J853" s="4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42"/>
      <c r="B854" s="182"/>
      <c r="C854" s="182"/>
      <c r="D854" s="182"/>
      <c r="E854" s="182"/>
      <c r="F854" s="182"/>
      <c r="G854" s="182"/>
      <c r="H854" s="182"/>
      <c r="I854" s="3"/>
      <c r="J854" s="4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42"/>
      <c r="B855" s="182"/>
      <c r="C855" s="182"/>
      <c r="D855" s="182"/>
      <c r="E855" s="182"/>
      <c r="F855" s="182"/>
      <c r="G855" s="182"/>
      <c r="H855" s="182"/>
      <c r="I855" s="3"/>
      <c r="J855" s="4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42"/>
      <c r="B856" s="182"/>
      <c r="C856" s="182"/>
      <c r="D856" s="182"/>
      <c r="E856" s="182"/>
      <c r="F856" s="182"/>
      <c r="G856" s="182"/>
      <c r="H856" s="182"/>
      <c r="I856" s="3"/>
      <c r="J856" s="4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42"/>
      <c r="B857" s="182"/>
      <c r="C857" s="182"/>
      <c r="D857" s="182"/>
      <c r="E857" s="182"/>
      <c r="F857" s="182"/>
      <c r="G857" s="182"/>
      <c r="H857" s="182"/>
      <c r="I857" s="3"/>
      <c r="J857" s="4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42"/>
      <c r="B858" s="182"/>
      <c r="C858" s="182"/>
      <c r="D858" s="182"/>
      <c r="E858" s="182"/>
      <c r="F858" s="182"/>
      <c r="G858" s="182"/>
      <c r="H858" s="182"/>
      <c r="I858" s="3"/>
      <c r="J858" s="4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42"/>
      <c r="B859" s="182"/>
      <c r="C859" s="182"/>
      <c r="D859" s="182"/>
      <c r="E859" s="182"/>
      <c r="F859" s="182"/>
      <c r="G859" s="182"/>
      <c r="H859" s="182"/>
      <c r="I859" s="3"/>
      <c r="J859" s="4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42"/>
      <c r="B860" s="182"/>
      <c r="C860" s="182"/>
      <c r="D860" s="182"/>
      <c r="E860" s="182"/>
      <c r="F860" s="182"/>
      <c r="G860" s="182"/>
      <c r="H860" s="182"/>
      <c r="I860" s="3"/>
      <c r="J860" s="4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42"/>
      <c r="B861" s="182"/>
      <c r="C861" s="182"/>
      <c r="D861" s="182"/>
      <c r="E861" s="182"/>
      <c r="F861" s="182"/>
      <c r="G861" s="182"/>
      <c r="H861" s="182"/>
      <c r="I861" s="3"/>
      <c r="J861" s="4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42"/>
      <c r="B862" s="182"/>
      <c r="C862" s="182"/>
      <c r="D862" s="182"/>
      <c r="E862" s="182"/>
      <c r="F862" s="182"/>
      <c r="G862" s="182"/>
      <c r="H862" s="182"/>
      <c r="I862" s="3"/>
      <c r="J862" s="4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42"/>
      <c r="B863" s="182"/>
      <c r="C863" s="182"/>
      <c r="D863" s="182"/>
      <c r="E863" s="182"/>
      <c r="F863" s="182"/>
      <c r="G863" s="182"/>
      <c r="H863" s="182"/>
      <c r="I863" s="3"/>
      <c r="J863" s="4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42"/>
      <c r="B864" s="182"/>
      <c r="C864" s="182"/>
      <c r="D864" s="182"/>
      <c r="E864" s="182"/>
      <c r="F864" s="182"/>
      <c r="G864" s="182"/>
      <c r="H864" s="182"/>
      <c r="I864" s="3"/>
      <c r="J864" s="4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42"/>
      <c r="B865" s="182"/>
      <c r="C865" s="182"/>
      <c r="D865" s="182"/>
      <c r="E865" s="182"/>
      <c r="F865" s="182"/>
      <c r="G865" s="182"/>
      <c r="H865" s="182"/>
      <c r="I865" s="3"/>
      <c r="J865" s="4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42"/>
      <c r="B866" s="182"/>
      <c r="C866" s="182"/>
      <c r="D866" s="182"/>
      <c r="E866" s="182"/>
      <c r="F866" s="182"/>
      <c r="G866" s="182"/>
      <c r="H866" s="182"/>
      <c r="I866" s="3"/>
      <c r="J866" s="4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42"/>
      <c r="B867" s="182"/>
      <c r="C867" s="182"/>
      <c r="D867" s="182"/>
      <c r="E867" s="182"/>
      <c r="F867" s="182"/>
      <c r="G867" s="182"/>
      <c r="H867" s="182"/>
      <c r="I867" s="3"/>
      <c r="J867" s="4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42"/>
      <c r="B868" s="182"/>
      <c r="C868" s="182"/>
      <c r="D868" s="182"/>
      <c r="E868" s="182"/>
      <c r="F868" s="182"/>
      <c r="G868" s="182"/>
      <c r="H868" s="182"/>
      <c r="I868" s="3"/>
      <c r="J868" s="4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42"/>
      <c r="B869" s="182"/>
      <c r="C869" s="182"/>
      <c r="D869" s="182"/>
      <c r="E869" s="182"/>
      <c r="F869" s="182"/>
      <c r="G869" s="182"/>
      <c r="H869" s="182"/>
      <c r="I869" s="3"/>
      <c r="J869" s="4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42"/>
      <c r="B870" s="182"/>
      <c r="C870" s="182"/>
      <c r="D870" s="182"/>
      <c r="E870" s="182"/>
      <c r="F870" s="182"/>
      <c r="G870" s="182"/>
      <c r="H870" s="182"/>
      <c r="I870" s="3"/>
      <c r="J870" s="4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42"/>
      <c r="B871" s="182"/>
      <c r="C871" s="182"/>
      <c r="D871" s="182"/>
      <c r="E871" s="182"/>
      <c r="F871" s="182"/>
      <c r="G871" s="182"/>
      <c r="H871" s="182"/>
      <c r="I871" s="3"/>
      <c r="J871" s="4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42"/>
      <c r="B872" s="182"/>
      <c r="C872" s="182"/>
      <c r="D872" s="182"/>
      <c r="E872" s="182"/>
      <c r="F872" s="182"/>
      <c r="G872" s="182"/>
      <c r="H872" s="182"/>
      <c r="I872" s="3"/>
      <c r="J872" s="4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42"/>
      <c r="B873" s="182"/>
      <c r="C873" s="182"/>
      <c r="D873" s="182"/>
      <c r="E873" s="182"/>
      <c r="F873" s="182"/>
      <c r="G873" s="182"/>
      <c r="H873" s="182"/>
      <c r="I873" s="3"/>
      <c r="J873" s="4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42"/>
      <c r="B874" s="182"/>
      <c r="C874" s="182"/>
      <c r="D874" s="182"/>
      <c r="E874" s="182"/>
      <c r="F874" s="182"/>
      <c r="G874" s="182"/>
      <c r="H874" s="182"/>
      <c r="I874" s="3"/>
      <c r="J874" s="4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42"/>
      <c r="B875" s="182"/>
      <c r="C875" s="182"/>
      <c r="D875" s="182"/>
      <c r="E875" s="182"/>
      <c r="F875" s="182"/>
      <c r="G875" s="182"/>
      <c r="H875" s="182"/>
      <c r="I875" s="3"/>
      <c r="J875" s="4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42"/>
      <c r="B876" s="182"/>
      <c r="C876" s="182"/>
      <c r="D876" s="182"/>
      <c r="E876" s="182"/>
      <c r="F876" s="182"/>
      <c r="G876" s="182"/>
      <c r="H876" s="182"/>
      <c r="I876" s="3"/>
      <c r="J876" s="4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42"/>
      <c r="B877" s="182"/>
      <c r="C877" s="182"/>
      <c r="D877" s="182"/>
      <c r="E877" s="182"/>
      <c r="F877" s="182"/>
      <c r="G877" s="182"/>
      <c r="H877" s="182"/>
      <c r="I877" s="3"/>
      <c r="J877" s="4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42"/>
      <c r="B878" s="182"/>
      <c r="C878" s="182"/>
      <c r="D878" s="182"/>
      <c r="E878" s="182"/>
      <c r="F878" s="182"/>
      <c r="G878" s="182"/>
      <c r="H878" s="182"/>
      <c r="I878" s="3"/>
      <c r="J878" s="4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42"/>
      <c r="B879" s="182"/>
      <c r="C879" s="182"/>
      <c r="D879" s="182"/>
      <c r="E879" s="182"/>
      <c r="F879" s="182"/>
      <c r="G879" s="182"/>
      <c r="H879" s="182"/>
      <c r="I879" s="3"/>
      <c r="J879" s="4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42"/>
      <c r="B880" s="182"/>
      <c r="C880" s="182"/>
      <c r="D880" s="182"/>
      <c r="E880" s="182"/>
      <c r="F880" s="182"/>
      <c r="G880" s="182"/>
      <c r="H880" s="182"/>
      <c r="I880" s="3"/>
      <c r="J880" s="4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42"/>
      <c r="B881" s="182"/>
      <c r="C881" s="182"/>
      <c r="D881" s="182"/>
      <c r="E881" s="182"/>
      <c r="F881" s="182"/>
      <c r="G881" s="182"/>
      <c r="H881" s="182"/>
      <c r="I881" s="3"/>
      <c r="J881" s="4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42"/>
      <c r="B882" s="182"/>
      <c r="C882" s="182"/>
      <c r="D882" s="182"/>
      <c r="E882" s="182"/>
      <c r="F882" s="182"/>
      <c r="G882" s="182"/>
      <c r="H882" s="182"/>
      <c r="I882" s="3"/>
      <c r="J882" s="4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42"/>
      <c r="B883" s="182"/>
      <c r="C883" s="182"/>
      <c r="D883" s="182"/>
      <c r="E883" s="182"/>
      <c r="F883" s="182"/>
      <c r="G883" s="182"/>
      <c r="H883" s="182"/>
      <c r="I883" s="3"/>
      <c r="J883" s="4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42"/>
      <c r="B884" s="182"/>
      <c r="C884" s="182"/>
      <c r="D884" s="182"/>
      <c r="E884" s="182"/>
      <c r="F884" s="182"/>
      <c r="G884" s="182"/>
      <c r="H884" s="182"/>
      <c r="I884" s="3"/>
      <c r="J884" s="4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42"/>
      <c r="B885" s="182"/>
      <c r="C885" s="182"/>
      <c r="D885" s="182"/>
      <c r="E885" s="182"/>
      <c r="F885" s="182"/>
      <c r="G885" s="182"/>
      <c r="H885" s="182"/>
      <c r="I885" s="3"/>
      <c r="J885" s="4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42"/>
      <c r="B886" s="182"/>
      <c r="C886" s="182"/>
      <c r="D886" s="182"/>
      <c r="E886" s="182"/>
      <c r="F886" s="182"/>
      <c r="G886" s="182"/>
      <c r="H886" s="182"/>
      <c r="I886" s="3"/>
      <c r="J886" s="4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42"/>
      <c r="B887" s="182"/>
      <c r="C887" s="182"/>
      <c r="D887" s="182"/>
      <c r="E887" s="182"/>
      <c r="F887" s="182"/>
      <c r="G887" s="182"/>
      <c r="H887" s="182"/>
      <c r="I887" s="3"/>
      <c r="J887" s="4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42"/>
      <c r="B888" s="182"/>
      <c r="C888" s="182"/>
      <c r="D888" s="182"/>
      <c r="E888" s="182"/>
      <c r="F888" s="182"/>
      <c r="G888" s="182"/>
      <c r="H888" s="182"/>
      <c r="I888" s="3"/>
      <c r="J888" s="4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42"/>
      <c r="B889" s="182"/>
      <c r="C889" s="182"/>
      <c r="D889" s="182"/>
      <c r="E889" s="182"/>
      <c r="F889" s="182"/>
      <c r="G889" s="182"/>
      <c r="H889" s="182"/>
      <c r="I889" s="3"/>
      <c r="J889" s="4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42"/>
      <c r="B890" s="182"/>
      <c r="C890" s="182"/>
      <c r="D890" s="182"/>
      <c r="E890" s="182"/>
      <c r="F890" s="182"/>
      <c r="G890" s="182"/>
      <c r="H890" s="182"/>
      <c r="I890" s="3"/>
      <c r="J890" s="4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42"/>
      <c r="B891" s="182"/>
      <c r="C891" s="182"/>
      <c r="D891" s="182"/>
      <c r="E891" s="182"/>
      <c r="F891" s="182"/>
      <c r="G891" s="182"/>
      <c r="H891" s="182"/>
      <c r="I891" s="3"/>
      <c r="J891" s="4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42"/>
      <c r="B892" s="182"/>
      <c r="C892" s="182"/>
      <c r="D892" s="182"/>
      <c r="E892" s="182"/>
      <c r="F892" s="182"/>
      <c r="G892" s="182"/>
      <c r="H892" s="182"/>
      <c r="I892" s="3"/>
      <c r="J892" s="4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42"/>
      <c r="B893" s="182"/>
      <c r="C893" s="182"/>
      <c r="D893" s="182"/>
      <c r="E893" s="182"/>
      <c r="F893" s="182"/>
      <c r="G893" s="182"/>
      <c r="H893" s="182"/>
      <c r="I893" s="3"/>
      <c r="J893" s="4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42"/>
      <c r="B894" s="182"/>
      <c r="C894" s="182"/>
      <c r="D894" s="182"/>
      <c r="E894" s="182"/>
      <c r="F894" s="182"/>
      <c r="G894" s="182"/>
      <c r="H894" s="182"/>
      <c r="I894" s="3"/>
      <c r="J894" s="4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42"/>
      <c r="B895" s="182"/>
      <c r="C895" s="182"/>
      <c r="D895" s="182"/>
      <c r="E895" s="182"/>
      <c r="F895" s="182"/>
      <c r="G895" s="182"/>
      <c r="H895" s="182"/>
      <c r="I895" s="3"/>
      <c r="J895" s="4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42"/>
      <c r="B896" s="182"/>
      <c r="C896" s="182"/>
      <c r="D896" s="182"/>
      <c r="E896" s="182"/>
      <c r="F896" s="182"/>
      <c r="G896" s="182"/>
      <c r="H896" s="182"/>
      <c r="I896" s="3"/>
      <c r="J896" s="4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42"/>
      <c r="B897" s="182"/>
      <c r="C897" s="182"/>
      <c r="D897" s="182"/>
      <c r="E897" s="182"/>
      <c r="F897" s="182"/>
      <c r="G897" s="182"/>
      <c r="H897" s="182"/>
      <c r="I897" s="3"/>
      <c r="J897" s="4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42"/>
      <c r="B898" s="182"/>
      <c r="C898" s="182"/>
      <c r="D898" s="182"/>
      <c r="E898" s="182"/>
      <c r="F898" s="182"/>
      <c r="G898" s="182"/>
      <c r="H898" s="182"/>
      <c r="I898" s="3"/>
      <c r="J898" s="4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42"/>
      <c r="B899" s="182"/>
      <c r="C899" s="182"/>
      <c r="D899" s="182"/>
      <c r="E899" s="182"/>
      <c r="F899" s="182"/>
      <c r="G899" s="182"/>
      <c r="H899" s="182"/>
      <c r="I899" s="3"/>
      <c r="J899" s="4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42"/>
      <c r="B900" s="182"/>
      <c r="C900" s="182"/>
      <c r="D900" s="182"/>
      <c r="E900" s="182"/>
      <c r="F900" s="182"/>
      <c r="G900" s="182"/>
      <c r="H900" s="182"/>
      <c r="I900" s="3"/>
      <c r="J900" s="4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42"/>
      <c r="B901" s="182"/>
      <c r="C901" s="182"/>
      <c r="D901" s="182"/>
      <c r="E901" s="182"/>
      <c r="F901" s="182"/>
      <c r="G901" s="182"/>
      <c r="H901" s="182"/>
      <c r="I901" s="3"/>
      <c r="J901" s="4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42"/>
      <c r="B902" s="182"/>
      <c r="C902" s="182"/>
      <c r="D902" s="182"/>
      <c r="E902" s="182"/>
      <c r="F902" s="182"/>
      <c r="G902" s="182"/>
      <c r="H902" s="182"/>
      <c r="I902" s="3"/>
      <c r="J902" s="4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42"/>
      <c r="B903" s="182"/>
      <c r="C903" s="182"/>
      <c r="D903" s="182"/>
      <c r="E903" s="182"/>
      <c r="F903" s="182"/>
      <c r="G903" s="182"/>
      <c r="H903" s="182"/>
      <c r="I903" s="3"/>
      <c r="J903" s="4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42"/>
      <c r="B904" s="182"/>
      <c r="C904" s="182"/>
      <c r="D904" s="182"/>
      <c r="E904" s="182"/>
      <c r="F904" s="182"/>
      <c r="G904" s="182"/>
      <c r="H904" s="182"/>
      <c r="I904" s="3"/>
      <c r="J904" s="4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42"/>
      <c r="B905" s="182"/>
      <c r="C905" s="182"/>
      <c r="D905" s="182"/>
      <c r="E905" s="182"/>
      <c r="F905" s="182"/>
      <c r="G905" s="182"/>
      <c r="H905" s="182"/>
      <c r="I905" s="3"/>
      <c r="J905" s="4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42"/>
      <c r="B906" s="182"/>
      <c r="C906" s="182"/>
      <c r="D906" s="182"/>
      <c r="E906" s="182"/>
      <c r="F906" s="182"/>
      <c r="G906" s="182"/>
      <c r="H906" s="182"/>
      <c r="I906" s="3"/>
      <c r="J906" s="4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42"/>
      <c r="B907" s="182"/>
      <c r="C907" s="182"/>
      <c r="D907" s="182"/>
      <c r="E907" s="182"/>
      <c r="F907" s="182"/>
      <c r="G907" s="182"/>
      <c r="H907" s="182"/>
      <c r="I907" s="3"/>
      <c r="J907" s="4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42"/>
      <c r="B908" s="182"/>
      <c r="C908" s="182"/>
      <c r="D908" s="182"/>
      <c r="E908" s="182"/>
      <c r="F908" s="182"/>
      <c r="G908" s="182"/>
      <c r="H908" s="182"/>
      <c r="I908" s="3"/>
      <c r="J908" s="4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42"/>
      <c r="B909" s="182"/>
      <c r="C909" s="182"/>
      <c r="D909" s="182"/>
      <c r="E909" s="182"/>
      <c r="F909" s="182"/>
      <c r="G909" s="182"/>
      <c r="H909" s="182"/>
      <c r="I909" s="3"/>
      <c r="J909" s="4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42"/>
      <c r="B910" s="182"/>
      <c r="C910" s="182"/>
      <c r="D910" s="182"/>
      <c r="E910" s="182"/>
      <c r="F910" s="182"/>
      <c r="G910" s="182"/>
      <c r="H910" s="182"/>
      <c r="I910" s="3"/>
      <c r="J910" s="4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42"/>
      <c r="B911" s="182"/>
      <c r="C911" s="182"/>
      <c r="D911" s="182"/>
      <c r="E911" s="182"/>
      <c r="F911" s="182"/>
      <c r="G911" s="182"/>
      <c r="H911" s="182"/>
      <c r="I911" s="3"/>
      <c r="J911" s="4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42"/>
      <c r="B912" s="182"/>
      <c r="C912" s="182"/>
      <c r="D912" s="182"/>
      <c r="E912" s="182"/>
      <c r="F912" s="182"/>
      <c r="G912" s="182"/>
      <c r="H912" s="182"/>
      <c r="I912" s="3"/>
      <c r="J912" s="4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42"/>
      <c r="B913" s="182"/>
      <c r="C913" s="182"/>
      <c r="D913" s="182"/>
      <c r="E913" s="182"/>
      <c r="F913" s="182"/>
      <c r="G913" s="182"/>
      <c r="H913" s="182"/>
      <c r="I913" s="3"/>
      <c r="J913" s="4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42"/>
      <c r="B914" s="182"/>
      <c r="C914" s="182"/>
      <c r="D914" s="182"/>
      <c r="E914" s="182"/>
      <c r="F914" s="182"/>
      <c r="G914" s="182"/>
      <c r="H914" s="182"/>
      <c r="I914" s="3"/>
      <c r="J914" s="4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42"/>
      <c r="B915" s="182"/>
      <c r="C915" s="182"/>
      <c r="D915" s="182"/>
      <c r="E915" s="182"/>
      <c r="F915" s="182"/>
      <c r="G915" s="182"/>
      <c r="H915" s="182"/>
      <c r="I915" s="3"/>
      <c r="J915" s="4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42"/>
      <c r="B916" s="182"/>
      <c r="C916" s="182"/>
      <c r="D916" s="182"/>
      <c r="E916" s="182"/>
      <c r="F916" s="182"/>
      <c r="G916" s="182"/>
      <c r="H916" s="182"/>
      <c r="I916" s="3"/>
      <c r="J916" s="4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42"/>
      <c r="B917" s="182"/>
      <c r="C917" s="182"/>
      <c r="D917" s="182"/>
      <c r="E917" s="182"/>
      <c r="F917" s="182"/>
      <c r="G917" s="182"/>
      <c r="H917" s="182"/>
      <c r="I917" s="3"/>
      <c r="J917" s="4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42"/>
      <c r="B918" s="182"/>
      <c r="C918" s="182"/>
      <c r="D918" s="182"/>
      <c r="E918" s="182"/>
      <c r="F918" s="182"/>
      <c r="G918" s="182"/>
      <c r="H918" s="182"/>
      <c r="I918" s="3"/>
      <c r="J918" s="4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42"/>
      <c r="B919" s="182"/>
      <c r="C919" s="182"/>
      <c r="D919" s="182"/>
      <c r="E919" s="182"/>
      <c r="F919" s="182"/>
      <c r="G919" s="182"/>
      <c r="H919" s="182"/>
      <c r="I919" s="3"/>
      <c r="J919" s="4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42"/>
      <c r="B920" s="182"/>
      <c r="C920" s="182"/>
      <c r="D920" s="182"/>
      <c r="E920" s="182"/>
      <c r="F920" s="182"/>
      <c r="G920" s="182"/>
      <c r="H920" s="182"/>
      <c r="I920" s="3"/>
      <c r="J920" s="4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42"/>
      <c r="B921" s="182"/>
      <c r="C921" s="182"/>
      <c r="D921" s="182"/>
      <c r="E921" s="182"/>
      <c r="F921" s="182"/>
      <c r="G921" s="182"/>
      <c r="H921" s="182"/>
      <c r="I921" s="3"/>
      <c r="J921" s="4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42"/>
      <c r="B922" s="182"/>
      <c r="C922" s="182"/>
      <c r="D922" s="182"/>
      <c r="E922" s="182"/>
      <c r="F922" s="182"/>
      <c r="G922" s="182"/>
      <c r="H922" s="182"/>
      <c r="I922" s="3"/>
      <c r="J922" s="4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42"/>
      <c r="B923" s="182"/>
      <c r="C923" s="182"/>
      <c r="D923" s="182"/>
      <c r="E923" s="182"/>
      <c r="F923" s="182"/>
      <c r="G923" s="182"/>
      <c r="H923" s="182"/>
      <c r="I923" s="3"/>
      <c r="J923" s="4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42"/>
      <c r="B924" s="182"/>
      <c r="C924" s="182"/>
      <c r="D924" s="182"/>
      <c r="E924" s="182"/>
      <c r="F924" s="182"/>
      <c r="G924" s="182"/>
      <c r="H924" s="182"/>
      <c r="I924" s="3"/>
      <c r="J924" s="4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42"/>
      <c r="B925" s="182"/>
      <c r="C925" s="182"/>
      <c r="D925" s="182"/>
      <c r="E925" s="182"/>
      <c r="F925" s="182"/>
      <c r="G925" s="182"/>
      <c r="H925" s="182"/>
      <c r="I925" s="3"/>
      <c r="J925" s="4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42"/>
      <c r="B926" s="182"/>
      <c r="C926" s="182"/>
      <c r="D926" s="182"/>
      <c r="E926" s="182"/>
      <c r="F926" s="182"/>
      <c r="G926" s="182"/>
      <c r="H926" s="182"/>
      <c r="I926" s="3"/>
      <c r="J926" s="4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42"/>
      <c r="B927" s="182"/>
      <c r="C927" s="182"/>
      <c r="D927" s="182"/>
      <c r="E927" s="182"/>
      <c r="F927" s="182"/>
      <c r="G927" s="182"/>
      <c r="H927" s="182"/>
      <c r="I927" s="3"/>
      <c r="J927" s="4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42"/>
      <c r="B928" s="182"/>
      <c r="C928" s="182"/>
      <c r="D928" s="182"/>
      <c r="E928" s="182"/>
      <c r="F928" s="182"/>
      <c r="G928" s="182"/>
      <c r="H928" s="182"/>
      <c r="I928" s="3"/>
      <c r="J928" s="4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42"/>
      <c r="B929" s="182"/>
      <c r="C929" s="182"/>
      <c r="D929" s="182"/>
      <c r="E929" s="182"/>
      <c r="F929" s="182"/>
      <c r="G929" s="182"/>
      <c r="H929" s="182"/>
      <c r="I929" s="3"/>
      <c r="J929" s="4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42"/>
      <c r="B930" s="182"/>
      <c r="C930" s="182"/>
      <c r="D930" s="182"/>
      <c r="E930" s="182"/>
      <c r="F930" s="182"/>
      <c r="G930" s="182"/>
      <c r="H930" s="182"/>
      <c r="I930" s="3"/>
      <c r="J930" s="4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42"/>
      <c r="B931" s="182"/>
      <c r="C931" s="182"/>
      <c r="D931" s="182"/>
      <c r="E931" s="182"/>
      <c r="F931" s="182"/>
      <c r="G931" s="182"/>
      <c r="H931" s="182"/>
      <c r="I931" s="3"/>
      <c r="J931" s="4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42"/>
      <c r="B932" s="182"/>
      <c r="C932" s="182"/>
      <c r="D932" s="182"/>
      <c r="E932" s="182"/>
      <c r="F932" s="182"/>
      <c r="G932" s="182"/>
      <c r="H932" s="182"/>
      <c r="I932" s="3"/>
      <c r="J932" s="4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42"/>
      <c r="B933" s="182"/>
      <c r="C933" s="182"/>
      <c r="D933" s="182"/>
      <c r="E933" s="182"/>
      <c r="F933" s="182"/>
      <c r="G933" s="182"/>
      <c r="H933" s="182"/>
      <c r="I933" s="3"/>
      <c r="J933" s="4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42"/>
      <c r="B934" s="182"/>
      <c r="C934" s="182"/>
      <c r="D934" s="182"/>
      <c r="E934" s="182"/>
      <c r="F934" s="182"/>
      <c r="G934" s="182"/>
      <c r="H934" s="182"/>
      <c r="I934" s="3"/>
      <c r="J934" s="4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42"/>
      <c r="B935" s="182"/>
      <c r="C935" s="182"/>
      <c r="D935" s="182"/>
      <c r="E935" s="182"/>
      <c r="F935" s="182"/>
      <c r="G935" s="182"/>
      <c r="H935" s="182"/>
      <c r="I935" s="3"/>
      <c r="J935" s="4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42"/>
      <c r="B936" s="182"/>
      <c r="C936" s="182"/>
      <c r="D936" s="182"/>
      <c r="E936" s="182"/>
      <c r="F936" s="182"/>
      <c r="G936" s="182"/>
      <c r="H936" s="182"/>
      <c r="I936" s="3"/>
      <c r="J936" s="4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42"/>
      <c r="B937" s="182"/>
      <c r="C937" s="182"/>
      <c r="D937" s="182"/>
      <c r="E937" s="182"/>
      <c r="F937" s="182"/>
      <c r="G937" s="182"/>
      <c r="H937" s="182"/>
      <c r="I937" s="3"/>
      <c r="J937" s="4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42"/>
      <c r="B938" s="182"/>
      <c r="C938" s="182"/>
      <c r="D938" s="182"/>
      <c r="E938" s="182"/>
      <c r="F938" s="182"/>
      <c r="G938" s="182"/>
      <c r="H938" s="182"/>
      <c r="I938" s="3"/>
      <c r="J938" s="4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42"/>
      <c r="B939" s="182"/>
      <c r="C939" s="182"/>
      <c r="D939" s="182"/>
      <c r="E939" s="182"/>
      <c r="F939" s="182"/>
      <c r="G939" s="182"/>
      <c r="H939" s="182"/>
      <c r="I939" s="3"/>
      <c r="J939" s="4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42"/>
      <c r="B940" s="182"/>
      <c r="C940" s="182"/>
      <c r="D940" s="182"/>
      <c r="E940" s="182"/>
      <c r="F940" s="182"/>
      <c r="G940" s="182"/>
      <c r="H940" s="182"/>
      <c r="I940" s="3"/>
      <c r="J940" s="4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42"/>
      <c r="B941" s="182"/>
      <c r="C941" s="182"/>
      <c r="D941" s="182"/>
      <c r="E941" s="182"/>
      <c r="F941" s="182"/>
      <c r="G941" s="182"/>
      <c r="H941" s="182"/>
      <c r="I941" s="3"/>
      <c r="J941" s="4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42"/>
      <c r="B942" s="182"/>
      <c r="C942" s="182"/>
      <c r="D942" s="182"/>
      <c r="E942" s="182"/>
      <c r="F942" s="182"/>
      <c r="G942" s="182"/>
      <c r="H942" s="182"/>
      <c r="I942" s="3"/>
      <c r="J942" s="4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42"/>
      <c r="B943" s="182"/>
      <c r="C943" s="182"/>
      <c r="D943" s="182"/>
      <c r="E943" s="182"/>
      <c r="F943" s="182"/>
      <c r="G943" s="182"/>
      <c r="H943" s="182"/>
      <c r="I943" s="3"/>
      <c r="J943" s="4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42"/>
      <c r="B944" s="182"/>
      <c r="C944" s="182"/>
      <c r="D944" s="182"/>
      <c r="E944" s="182"/>
      <c r="F944" s="182"/>
      <c r="G944" s="182"/>
      <c r="H944" s="182"/>
      <c r="I944" s="3"/>
      <c r="J944" s="4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42"/>
      <c r="B945" s="182"/>
      <c r="C945" s="182"/>
      <c r="D945" s="182"/>
      <c r="E945" s="182"/>
      <c r="F945" s="182"/>
      <c r="G945" s="182"/>
      <c r="H945" s="182"/>
      <c r="I945" s="3"/>
      <c r="J945" s="4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42"/>
      <c r="B946" s="182"/>
      <c r="C946" s="182"/>
      <c r="D946" s="182"/>
      <c r="E946" s="182"/>
      <c r="F946" s="182"/>
      <c r="G946" s="182"/>
      <c r="H946" s="182"/>
      <c r="I946" s="3"/>
      <c r="J946" s="4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42"/>
      <c r="B947" s="182"/>
      <c r="C947" s="182"/>
      <c r="D947" s="182"/>
      <c r="E947" s="182"/>
      <c r="F947" s="182"/>
      <c r="G947" s="182"/>
      <c r="H947" s="182"/>
      <c r="I947" s="3"/>
      <c r="J947" s="4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42"/>
      <c r="B948" s="182"/>
      <c r="C948" s="182"/>
      <c r="D948" s="182"/>
      <c r="E948" s="182"/>
      <c r="F948" s="182"/>
      <c r="G948" s="182"/>
      <c r="H948" s="182"/>
      <c r="I948" s="3"/>
      <c r="J948" s="4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42"/>
      <c r="B949" s="182"/>
      <c r="C949" s="182"/>
      <c r="D949" s="182"/>
      <c r="E949" s="182"/>
      <c r="F949" s="182"/>
      <c r="G949" s="182"/>
      <c r="H949" s="182"/>
      <c r="I949" s="3"/>
      <c r="J949" s="4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42"/>
      <c r="B950" s="182"/>
      <c r="C950" s="182"/>
      <c r="D950" s="182"/>
      <c r="E950" s="182"/>
      <c r="F950" s="182"/>
      <c r="G950" s="182"/>
      <c r="H950" s="182"/>
      <c r="I950" s="3"/>
      <c r="J950" s="4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42"/>
      <c r="B951" s="182"/>
      <c r="C951" s="182"/>
      <c r="D951" s="182"/>
      <c r="E951" s="182"/>
      <c r="F951" s="182"/>
      <c r="G951" s="182"/>
      <c r="H951" s="182"/>
      <c r="I951" s="3"/>
      <c r="J951" s="4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42"/>
      <c r="B952" s="182"/>
      <c r="C952" s="182"/>
      <c r="D952" s="182"/>
      <c r="E952" s="182"/>
      <c r="F952" s="182"/>
      <c r="G952" s="182"/>
      <c r="H952" s="182"/>
      <c r="I952" s="3"/>
      <c r="J952" s="4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42"/>
      <c r="B953" s="182"/>
      <c r="C953" s="182"/>
      <c r="D953" s="182"/>
      <c r="E953" s="182"/>
      <c r="F953" s="182"/>
      <c r="G953" s="182"/>
      <c r="H953" s="182"/>
      <c r="I953" s="3"/>
      <c r="J953" s="4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42"/>
      <c r="B954" s="182"/>
      <c r="C954" s="182"/>
      <c r="D954" s="182"/>
      <c r="E954" s="182"/>
      <c r="F954" s="182"/>
      <c r="G954" s="182"/>
      <c r="H954" s="182"/>
      <c r="I954" s="3"/>
      <c r="J954" s="4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42"/>
      <c r="B955" s="182"/>
      <c r="C955" s="182"/>
      <c r="D955" s="182"/>
      <c r="E955" s="182"/>
      <c r="F955" s="182"/>
      <c r="G955" s="182"/>
      <c r="H955" s="182"/>
      <c r="I955" s="3"/>
      <c r="J955" s="4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42"/>
      <c r="B956" s="182"/>
      <c r="C956" s="182"/>
      <c r="D956" s="182"/>
      <c r="E956" s="182"/>
      <c r="F956" s="182"/>
      <c r="G956" s="182"/>
      <c r="H956" s="182"/>
      <c r="I956" s="3"/>
      <c r="J956" s="4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42"/>
      <c r="B957" s="182"/>
      <c r="C957" s="182"/>
      <c r="D957" s="182"/>
      <c r="E957" s="182"/>
      <c r="F957" s="182"/>
      <c r="G957" s="182"/>
      <c r="H957" s="182"/>
      <c r="I957" s="3"/>
      <c r="J957" s="4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42"/>
      <c r="B958" s="182"/>
      <c r="C958" s="182"/>
      <c r="D958" s="182"/>
      <c r="E958" s="182"/>
      <c r="F958" s="182"/>
      <c r="G958" s="182"/>
      <c r="H958" s="182"/>
      <c r="I958" s="3"/>
      <c r="J958" s="4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42"/>
      <c r="B959" s="182"/>
      <c r="C959" s="182"/>
      <c r="D959" s="182"/>
      <c r="E959" s="182"/>
      <c r="F959" s="182"/>
      <c r="G959" s="182"/>
      <c r="H959" s="182"/>
      <c r="I959" s="3"/>
      <c r="J959" s="4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42"/>
      <c r="B960" s="182"/>
      <c r="C960" s="182"/>
      <c r="D960" s="182"/>
      <c r="E960" s="182"/>
      <c r="F960" s="182"/>
      <c r="G960" s="182"/>
      <c r="H960" s="182"/>
      <c r="I960" s="3"/>
      <c r="J960" s="4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42"/>
      <c r="B961" s="182"/>
      <c r="C961" s="182"/>
      <c r="D961" s="182"/>
      <c r="E961" s="182"/>
      <c r="F961" s="182"/>
      <c r="G961" s="182"/>
      <c r="H961" s="182"/>
      <c r="I961" s="3"/>
      <c r="J961" s="4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42"/>
      <c r="B962" s="182"/>
      <c r="C962" s="182"/>
      <c r="D962" s="182"/>
      <c r="E962" s="182"/>
      <c r="F962" s="182"/>
      <c r="G962" s="182"/>
      <c r="H962" s="182"/>
      <c r="I962" s="3"/>
      <c r="J962" s="4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42"/>
      <c r="B963" s="182"/>
      <c r="C963" s="182"/>
      <c r="D963" s="182"/>
      <c r="E963" s="182"/>
      <c r="F963" s="182"/>
      <c r="G963" s="182"/>
      <c r="H963" s="182"/>
      <c r="I963" s="3"/>
      <c r="J963" s="4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42"/>
      <c r="B964" s="182"/>
      <c r="C964" s="182"/>
      <c r="D964" s="182"/>
      <c r="E964" s="182"/>
      <c r="F964" s="182"/>
      <c r="G964" s="182"/>
      <c r="H964" s="182"/>
      <c r="I964" s="3"/>
      <c r="J964" s="4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42"/>
      <c r="B965" s="182"/>
      <c r="C965" s="182"/>
      <c r="D965" s="182"/>
      <c r="E965" s="182"/>
      <c r="F965" s="182"/>
      <c r="G965" s="182"/>
      <c r="H965" s="182"/>
      <c r="I965" s="3"/>
      <c r="J965" s="4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42"/>
      <c r="B966" s="182"/>
      <c r="C966" s="182"/>
      <c r="D966" s="182"/>
      <c r="E966" s="182"/>
      <c r="F966" s="182"/>
      <c r="G966" s="182"/>
      <c r="H966" s="182"/>
      <c r="I966" s="3"/>
      <c r="J966" s="4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42"/>
      <c r="B967" s="182"/>
      <c r="C967" s="182"/>
      <c r="D967" s="182"/>
      <c r="E967" s="182"/>
      <c r="F967" s="182"/>
      <c r="G967" s="182"/>
      <c r="H967" s="182"/>
      <c r="I967" s="3"/>
      <c r="J967" s="4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42"/>
      <c r="B968" s="182"/>
      <c r="C968" s="182"/>
      <c r="D968" s="182"/>
      <c r="E968" s="182"/>
      <c r="F968" s="182"/>
      <c r="G968" s="182"/>
      <c r="H968" s="182"/>
      <c r="I968" s="3"/>
      <c r="J968" s="4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42"/>
      <c r="B969" s="182"/>
      <c r="C969" s="182"/>
      <c r="D969" s="182"/>
      <c r="E969" s="182"/>
      <c r="F969" s="182"/>
      <c r="G969" s="182"/>
      <c r="H969" s="182"/>
      <c r="I969" s="3"/>
      <c r="J969" s="4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42"/>
      <c r="B970" s="182"/>
      <c r="C970" s="182"/>
      <c r="D970" s="182"/>
      <c r="E970" s="182"/>
      <c r="F970" s="182"/>
      <c r="G970" s="182"/>
      <c r="H970" s="182"/>
      <c r="I970" s="3"/>
      <c r="J970" s="4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42"/>
      <c r="B971" s="182"/>
      <c r="C971" s="182"/>
      <c r="D971" s="182"/>
      <c r="E971" s="182"/>
      <c r="F971" s="182"/>
      <c r="G971" s="182"/>
      <c r="H971" s="182"/>
      <c r="I971" s="3"/>
      <c r="J971" s="4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42"/>
      <c r="B972" s="182"/>
      <c r="C972" s="182"/>
      <c r="D972" s="182"/>
      <c r="E972" s="182"/>
      <c r="F972" s="182"/>
      <c r="G972" s="182"/>
      <c r="H972" s="182"/>
      <c r="I972" s="3"/>
      <c r="J972" s="4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42"/>
      <c r="B973" s="182"/>
      <c r="C973" s="182"/>
      <c r="D973" s="182"/>
      <c r="E973" s="182"/>
      <c r="F973" s="182"/>
      <c r="G973" s="182"/>
      <c r="H973" s="182"/>
      <c r="I973" s="3"/>
      <c r="J973" s="4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42"/>
      <c r="B974" s="182"/>
      <c r="C974" s="182"/>
      <c r="D974" s="182"/>
      <c r="E974" s="182"/>
      <c r="F974" s="182"/>
      <c r="G974" s="182"/>
      <c r="H974" s="182"/>
      <c r="I974" s="3"/>
      <c r="J974" s="4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42"/>
      <c r="B975" s="182"/>
      <c r="C975" s="182"/>
      <c r="D975" s="182"/>
      <c r="E975" s="182"/>
      <c r="F975" s="182"/>
      <c r="G975" s="182"/>
      <c r="H975" s="182"/>
      <c r="I975" s="3"/>
      <c r="J975" s="4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42"/>
      <c r="B976" s="182"/>
      <c r="C976" s="182"/>
      <c r="D976" s="182"/>
      <c r="E976" s="182"/>
      <c r="F976" s="182"/>
      <c r="G976" s="182"/>
      <c r="H976" s="182"/>
      <c r="I976" s="3"/>
      <c r="J976" s="4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42"/>
      <c r="B977" s="182"/>
      <c r="C977" s="182"/>
      <c r="D977" s="182"/>
      <c r="E977" s="182"/>
      <c r="F977" s="182"/>
      <c r="G977" s="182"/>
      <c r="H977" s="182"/>
      <c r="I977" s="3"/>
      <c r="J977" s="4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42"/>
      <c r="B978" s="182"/>
      <c r="C978" s="182"/>
      <c r="D978" s="182"/>
      <c r="E978" s="182"/>
      <c r="F978" s="182"/>
      <c r="G978" s="182"/>
      <c r="H978" s="182"/>
      <c r="I978" s="3"/>
      <c r="J978" s="4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42"/>
      <c r="B979" s="182"/>
      <c r="C979" s="182"/>
      <c r="D979" s="182"/>
      <c r="E979" s="182"/>
      <c r="F979" s="182"/>
      <c r="G979" s="182"/>
      <c r="H979" s="182"/>
      <c r="I979" s="3"/>
      <c r="J979" s="4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42"/>
      <c r="B980" s="182"/>
      <c r="C980" s="182"/>
      <c r="D980" s="182"/>
      <c r="E980" s="182"/>
      <c r="F980" s="182"/>
      <c r="G980" s="182"/>
      <c r="H980" s="182"/>
      <c r="I980" s="3"/>
      <c r="J980" s="4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42"/>
      <c r="B981" s="182"/>
      <c r="C981" s="182"/>
      <c r="D981" s="182"/>
      <c r="E981" s="182"/>
      <c r="F981" s="182"/>
      <c r="G981" s="182"/>
      <c r="H981" s="182"/>
      <c r="I981" s="3"/>
      <c r="J981" s="4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42"/>
      <c r="B982" s="182"/>
      <c r="C982" s="182"/>
      <c r="D982" s="182"/>
      <c r="E982" s="182"/>
      <c r="F982" s="182"/>
      <c r="G982" s="182"/>
      <c r="H982" s="182"/>
      <c r="I982" s="3"/>
      <c r="J982" s="4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42"/>
      <c r="B983" s="182"/>
      <c r="C983" s="182"/>
      <c r="D983" s="182"/>
      <c r="E983" s="182"/>
      <c r="F983" s="182"/>
      <c r="G983" s="182"/>
      <c r="H983" s="182"/>
      <c r="I983" s="3"/>
      <c r="J983" s="4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42"/>
      <c r="B984" s="182"/>
      <c r="C984" s="182"/>
      <c r="D984" s="182"/>
      <c r="E984" s="182"/>
      <c r="F984" s="182"/>
      <c r="G984" s="182"/>
      <c r="H984" s="182"/>
      <c r="I984" s="3"/>
      <c r="J984" s="4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42"/>
      <c r="B985" s="182"/>
      <c r="C985" s="182"/>
      <c r="D985" s="182"/>
      <c r="E985" s="182"/>
      <c r="F985" s="182"/>
      <c r="G985" s="182"/>
      <c r="H985" s="182"/>
      <c r="I985" s="3"/>
      <c r="J985" s="4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42"/>
      <c r="B986" s="182"/>
      <c r="C986" s="182"/>
      <c r="D986" s="182"/>
      <c r="E986" s="182"/>
      <c r="F986" s="182"/>
      <c r="G986" s="182"/>
      <c r="H986" s="182"/>
      <c r="I986" s="3"/>
      <c r="J986" s="4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42"/>
      <c r="B987" s="182"/>
      <c r="C987" s="182"/>
      <c r="D987" s="182"/>
      <c r="E987" s="182"/>
      <c r="F987" s="182"/>
      <c r="G987" s="182"/>
      <c r="H987" s="182"/>
      <c r="I987" s="3"/>
      <c r="J987" s="4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42"/>
      <c r="B988" s="182"/>
      <c r="C988" s="182"/>
      <c r="D988" s="182"/>
      <c r="E988" s="182"/>
      <c r="F988" s="182"/>
      <c r="G988" s="182"/>
      <c r="H988" s="182"/>
      <c r="I988" s="3"/>
      <c r="J988" s="4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42"/>
      <c r="B989" s="182"/>
      <c r="C989" s="182"/>
      <c r="D989" s="182"/>
      <c r="E989" s="182"/>
      <c r="F989" s="182"/>
      <c r="G989" s="182"/>
      <c r="H989" s="182"/>
      <c r="I989" s="3"/>
      <c r="J989" s="4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42"/>
      <c r="B990" s="182"/>
      <c r="C990" s="182"/>
      <c r="D990" s="182"/>
      <c r="E990" s="182"/>
      <c r="F990" s="182"/>
      <c r="G990" s="182"/>
      <c r="H990" s="182"/>
      <c r="I990" s="3"/>
      <c r="J990" s="4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42"/>
      <c r="B991" s="182"/>
      <c r="C991" s="182"/>
      <c r="D991" s="182"/>
      <c r="E991" s="182"/>
      <c r="F991" s="182"/>
      <c r="G991" s="182"/>
      <c r="H991" s="182"/>
      <c r="I991" s="3"/>
      <c r="J991" s="4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42"/>
      <c r="B992" s="182"/>
      <c r="C992" s="182"/>
      <c r="D992" s="182"/>
      <c r="E992" s="182"/>
      <c r="F992" s="182"/>
      <c r="G992" s="182"/>
      <c r="H992" s="182"/>
      <c r="I992" s="3"/>
      <c r="J992" s="4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42"/>
      <c r="B993" s="182"/>
      <c r="C993" s="182"/>
      <c r="D993" s="182"/>
      <c r="E993" s="182"/>
      <c r="F993" s="182"/>
      <c r="G993" s="182"/>
      <c r="H993" s="182"/>
      <c r="I993" s="3"/>
      <c r="J993" s="4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42"/>
      <c r="B994" s="182"/>
      <c r="C994" s="182"/>
      <c r="D994" s="182"/>
      <c r="E994" s="182"/>
      <c r="F994" s="182"/>
      <c r="G994" s="182"/>
      <c r="H994" s="182"/>
      <c r="I994" s="3"/>
      <c r="J994" s="4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42"/>
      <c r="B995" s="182"/>
      <c r="C995" s="182"/>
      <c r="D995" s="182"/>
      <c r="E995" s="182"/>
      <c r="F995" s="182"/>
      <c r="G995" s="182"/>
      <c r="H995" s="182"/>
      <c r="I995" s="3"/>
      <c r="J995" s="4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42"/>
      <c r="B996" s="182"/>
      <c r="C996" s="182"/>
      <c r="D996" s="182"/>
      <c r="E996" s="182"/>
      <c r="F996" s="182"/>
      <c r="G996" s="182"/>
      <c r="H996" s="182"/>
      <c r="I996" s="3"/>
      <c r="J996" s="4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42"/>
      <c r="B997" s="182"/>
      <c r="C997" s="182"/>
      <c r="D997" s="182"/>
      <c r="E997" s="182"/>
      <c r="F997" s="182"/>
      <c r="G997" s="182"/>
      <c r="H997" s="182"/>
      <c r="I997" s="3"/>
      <c r="J997" s="4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42"/>
      <c r="B998" s="182"/>
      <c r="C998" s="182"/>
      <c r="D998" s="182"/>
      <c r="E998" s="182"/>
      <c r="F998" s="182"/>
      <c r="G998" s="182"/>
      <c r="H998" s="182"/>
      <c r="I998" s="3"/>
      <c r="J998" s="4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42"/>
      <c r="B999" s="182"/>
      <c r="C999" s="182"/>
      <c r="D999" s="182"/>
      <c r="E999" s="182"/>
      <c r="F999" s="182"/>
      <c r="G999" s="182"/>
      <c r="H999" s="182"/>
      <c r="I999" s="3"/>
      <c r="J999" s="4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42"/>
      <c r="B1000" s="182"/>
      <c r="C1000" s="182"/>
      <c r="D1000" s="182"/>
      <c r="E1000" s="182"/>
      <c r="F1000" s="182"/>
      <c r="G1000" s="182"/>
      <c r="H1000" s="182"/>
      <c r="I1000" s="3"/>
      <c r="J1000" s="4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B2:H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2026-01-31T12:16:35Z</dcterms:created>
</cp:coreProperties>
</file>